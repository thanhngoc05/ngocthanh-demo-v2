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8cb65217a5c4e54" /></Relationships>
</file>

<file path=xl/workbook.xml><?xml version="1.0" encoding="utf-8"?>
<x:workbook xmlns:x="http://schemas.openxmlformats.org/spreadsheetml/2006/main">
  <x:sheets>
    <x:sheet xmlns:r="http://schemas.openxmlformats.org/officeDocument/2006/relationships" name="Products" sheetId="1" r:id="R9d590e7018ec46dd"/>
    <x:sheet xmlns:r="http://schemas.openxmlformats.org/officeDocument/2006/relationships" name="Category_Summary" sheetId="2" r:id="R28a18378d6aa4388"/>
    <x:sheet xmlns:r="http://schemas.openxmlformats.org/officeDocument/2006/relationships" name="Import_Guide" sheetId="3" r:id="Rf06e174dbdf04b4d"/>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quot;₫&quot;"/>
    <x:numFmt numFmtId="201" formatCode="0%"/>
    <x:numFmt numFmtId="202" formatCode="0"/>
    <x:numFmt numFmtId="203" formatCode="0.0"/>
    <x:numFmt numFmtId="204" formatCode="yyyy-mm-dd"/>
  </x:numFmts>
  <x:fonts count="2">
    <x:font>
      <x:sz val="11"/>
      <x:name val="Carlito"/>
    </x:font>
    <x:font>
      <x:b/>
      <x:sz val="11"/>
      <x:color rgb="FFFFFF"/>
      <x:name val="Carlito"/>
    </x:font>
  </x:fonts>
  <x:fills count="5">
    <x:fill>
      <x:patternFill patternType="none"/>
    </x:fill>
    <x:fill>
      <x:patternFill patternType="gray125"/>
    </x:fill>
    <x:fill>
      <x:patternFill patternType="solid">
        <x:fgColor rgb="0F766E"/>
      </x:patternFill>
    </x:fill>
    <x:fill>
      <x:patternFill patternType="solid">
        <x:fgColor rgb="1D4ED8"/>
      </x:patternFill>
    </x:fill>
    <x:fill>
      <x:patternFill patternType="solid">
        <x:fgColor rgb="7C3AED"/>
      </x:patternFill>
    </x:fill>
  </x:fills>
  <x:borders count="2">
    <x:border/>
    <x:border/>
  </x:borders>
  <x:cellStyleXfs count="1">
    <x:xf numFmtId="0" fontId="0" fillId="0" borderId="0"/>
  </x:cellStyleXfs>
  <x:cellXfs count="49">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2" fontId="0" fillId="0" borderId="1"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203" fontId="0" fillId="0" borderId="1" xfId="0" applyNumberFormat="1" applyFont="1" applyFill="1" applyBorder="1" applyAlignment="1">
      <x:alignment vertical="top" wrapText="1"/>
    </x:xf>
    <x:xf numFmtId="204" fontId="0" fillId="0" borderId="0" xfId="0" applyNumberFormat="1" applyFont="1" applyFill="1" applyBorder="1" applyAlignment="1">
      <x:alignment vertical="top" wrapText="1"/>
    </x:xf>
    <x:xf numFmtId="204"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horizontal="center"/>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horizontal="center"/>
    </x:xf>
    <x:xf numFmtId="0" fontId="1" fillId="4"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dc16488f6914003" /><Relationship Type="http://schemas.openxmlformats.org/officeDocument/2006/relationships/theme" Target="/xl/theme/theme1.xml" Id="Rf87b5c634a2e4fe2" /><Relationship Type="http://schemas.microsoft.com/office/2022/11/relationships/FeaturePropertyBag" Target="/xl/featurePropertyBag/featurePropertyBag.xml" Id="R16521d0cb5564279" /><Relationship Type="http://schemas.openxmlformats.org/officeDocument/2006/relationships/sharedStrings" Target="/xl/sharedStrings.xml" Id="R6f43bc88aec54e94" /><Relationship Type="http://schemas.openxmlformats.org/officeDocument/2006/relationships/worksheet" Target="/xl/worksheets/sheet1.xml" Id="R9d590e7018ec46dd" /><Relationship Type="http://schemas.openxmlformats.org/officeDocument/2006/relationships/worksheet" Target="/xl/worksheets/sheet2.xml" Id="R28a18378d6aa4388" /><Relationship Type="http://schemas.openxmlformats.org/officeDocument/2006/relationships/worksheet" Target="/xl/worksheets/sheet3.xml" Id="Rf06e174dbdf04b4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roductsTable" displayName="ProductsTable" ref="A1:T101" headerRowCount="1">
  <x:tableColumns count="20">
    <x:tableColumn id="1" name="id"/>
    <x:tableColumn id="2" name="sku"/>
    <x:tableColumn id="3" name="name"/>
    <x:tableColumn id="4" name="slug"/>
    <x:tableColumn id="5" name="category"/>
    <x:tableColumn id="6" name="brand"/>
    <x:tableColumn id="7" name="price_vnd"/>
    <x:tableColumn id="8" name="original_price_vnd"/>
    <x:tableColumn id="9" name="discount_percent"/>
    <x:tableColumn id="10" name="stock"/>
    <x:tableColumn id="11" name="rating"/>
    <x:tableColumn id="12" name="review_count"/>
    <x:tableColumn id="13" name="warranty_months"/>
    <x:tableColumn id="14" name="image_url"/>
    <x:tableColumn id="15" name="description"/>
    <x:tableColumn id="16" name="specs_json"/>
    <x:tableColumn id="17" name="is_featured"/>
    <x:tableColumn id="18" name="status"/>
    <x:tableColumn id="19" name="created_at"/>
    <x:tableColumn id="20" name="data_note"/>
  </x:tableColumns>
  <x:tableStyleInfo name="TableStyleMedium2" showRowStripes="1"/>
</x:table>
</file>

<file path=xl/tables/table2.xml><?xml version="1.0" encoding="utf-8"?>
<x:table xmlns:x="http://schemas.openxmlformats.org/spreadsheetml/2006/main" id="2" name="CategorySummaryTable" displayName="CategorySummaryTable" ref="A1:E17" headerRowCount="1">
  <x:tableColumns count="5">
    <x:tableColumn id="1" name="category"/>
    <x:tableColumn id="2" name="product_count"/>
    <x:tableColumn id="3" name="avg_price_vnd"/>
    <x:tableColumn id="4" name="min_price_vnd"/>
    <x:tableColumn id="5" name="max_price_vnd"/>
  </x:tableColumns>
  <x:tableStyleInfo name="TableStyleMedium2" showRowStripes="1"/>
</x:table>
</file>

<file path=xl/tables/table3.xml><?xml version="1.0" encoding="utf-8"?>
<x:table xmlns:x="http://schemas.openxmlformats.org/spreadsheetml/2006/main" id="3" name="ImportGuideTable" displayName="ImportGuideTable" ref="A1:B9" headerRowCount="1">
  <x:tableColumns count="2">
    <x:tableColumn id="1" name="Mục"/>
    <x:tableColumn id="2" name="Nội dun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b2a8a54f52a42e9" /></Relationships>
</file>

<file path=xl/worksheets/_rels/sheet2.xml.rels>&#65279;<?xml version="1.0" encoding="utf-8"?><Relationships xmlns="http://schemas.openxmlformats.org/package/2006/relationships"><Relationship Type="http://schemas.openxmlformats.org/officeDocument/2006/relationships/table" Target="/xl/tables/table2.xml" Id="Rf17803e6d8664f67" /></Relationships>
</file>

<file path=xl/worksheets/_rels/sheet3.xml.rels>&#65279;<?xml version="1.0" encoding="utf-8"?><Relationships xmlns="http://schemas.openxmlformats.org/package/2006/relationships"><Relationship Type="http://schemas.openxmlformats.org/officeDocument/2006/relationships/table" Target="/xl/tables/table3.xml" Id="R43f4e491448347bb" /></Relationships>
</file>

<file path=xl/worksheets/sheet1.xml><?xml version="1.0" encoding="utf-8"?>
<x:worksheet xmlns:x="http://schemas.openxmlformats.org/spreadsheetml/2006/main">
  <x:sheetFormatPr defaultRowHeight="15"/>
  <x:cols>
    <x:col min="1" max="1" width="7" hidden="0" customWidth="1"/>
    <x:col min="2" max="2" width="16" hidden="0" customWidth="1"/>
    <x:col min="3" max="3" width="28" hidden="0" customWidth="1"/>
    <x:col min="4" max="4" width="32" hidden="0" customWidth="1"/>
    <x:col min="5" max="5" width="18" hidden="0" customWidth="1"/>
    <x:col min="6" max="6" width="14" hidden="0" customWidth="1"/>
    <x:col min="7" max="7" width="16" hidden="0" customWidth="1"/>
    <x:col min="8" max="8" width="18" hidden="0" customWidth="1"/>
    <x:col min="9" max="9" width="11" hidden="0" customWidth="1"/>
    <x:col min="10" max="10" width="8" hidden="0" customWidth="1"/>
    <x:col min="11" max="11" width="8" hidden="0" customWidth="1"/>
    <x:col min="12" max="12" width="12" hidden="0" customWidth="1"/>
    <x:col min="13" max="13" width="12" hidden="0" customWidth="1"/>
    <x:col min="14" max="14" width="34" hidden="0" customWidth="1"/>
    <x:col min="15" max="15" width="42" hidden="0" customWidth="1"/>
    <x:col min="16" max="16" width="40" hidden="0" customWidth="1"/>
    <x:col min="17" max="17" width="10" hidden="0" customWidth="1"/>
    <x:col min="18" max="18" width="13" hidden="0" customWidth="1"/>
    <x:col min="19" max="19" width="12" hidden="0" customWidth="1"/>
    <x:col min="20" max="20" width="34" hidden="0" customWidth="1"/>
  </x:cols>
  <x:sheetData>
    <x:row r="1" ht="30" customHeight="1">
      <x:c r="A1" s="18" t="str">
        <x:v>id</x:v>
      </x:c>
      <x:c r="B1" s="18" t="str">
        <x:v>sku</x:v>
      </x:c>
      <x:c r="C1" s="18" t="str">
        <x:v>name</x:v>
      </x:c>
      <x:c r="D1" s="18" t="str">
        <x:v>slug</x:v>
      </x:c>
      <x:c r="E1" s="18" t="str">
        <x:v>category</x:v>
      </x:c>
      <x:c r="F1" s="18" t="str">
        <x:v>brand</x:v>
      </x:c>
      <x:c r="G1" s="18" t="str">
        <x:v>price_vnd</x:v>
      </x:c>
      <x:c r="H1" s="18" t="str">
        <x:v>original_price_vnd</x:v>
      </x:c>
      <x:c r="I1" s="18" t="str">
        <x:v>discount_percent</x:v>
      </x:c>
      <x:c r="J1" s="18" t="str">
        <x:v>stock</x:v>
      </x:c>
      <x:c r="K1" s="18" t="str">
        <x:v>rating</x:v>
      </x:c>
      <x:c r="L1" s="18" t="str">
        <x:v>review_count</x:v>
      </x:c>
      <x:c r="M1" s="18" t="str">
        <x:v>warranty_months</x:v>
      </x:c>
      <x:c r="N1" s="18" t="str">
        <x:v>image_url</x:v>
      </x:c>
      <x:c r="O1" s="18" t="str">
        <x:v>description</x:v>
      </x:c>
      <x:c r="P1" s="18" t="str">
        <x:v>specs_json</x:v>
      </x:c>
      <x:c r="Q1" s="18" t="str">
        <x:v>is_featured</x:v>
      </x:c>
      <x:c r="R1" s="18" t="str">
        <x:v>status</x:v>
      </x:c>
      <x:c r="S1" s="18" t="str">
        <x:v>created_at</x:v>
      </x:c>
      <x:c r="T1" s="18" t="str">
        <x:v>data_note</x:v>
      </x:c>
    </x:row>
    <x:row r="2" ht="36" customHeight="1">
      <x:c r="A2" s="19" t="n">
        <x:v>1</x:v>
      </x:c>
      <x:c r="B2" s="19" t="str">
        <x:v>TCH-PHN-0001</x:v>
      </x:c>
      <x:c r="C2" s="19" t="str">
        <x:v>Samsung Galaxy A56 5G Lite</x:v>
      </x:c>
      <x:c r="D2" s="19" t="str">
        <x:v>samsung-galaxy-a56-5g-lite-001</x:v>
      </x:c>
      <x:c r="E2" s="19" t="str">
        <x:v>Điện thoại</x:v>
      </x:c>
      <x:c r="F2" s="19" t="str">
        <x:v>Samsung</x:v>
      </x:c>
      <x:c r="G2" s="24" t="n">
        <x:v>8090000</x:v>
      </x:c>
      <x:c r="H2" s="24" t="n">
        <x:v>8090000</x:v>
      </x:c>
      <x:c r="I2" s="26" t="n">
        <x:v>0</x:v>
      </x:c>
      <x:c r="J2" s="28" t="n">
        <x:v>94</x:v>
      </x:c>
      <x:c r="K2" s="30" t="n">
        <x:v>4.1</x:v>
      </x:c>
      <x:c r="L2" s="28" t="n">
        <x:v>228</x:v>
      </x:c>
      <x:c r="M2" s="28" t="n">
        <x:v>12</x:v>
      </x:c>
      <x:c r="N2" s="19" t="str">
        <x:v>https://placehold.co/600x600?text=PHN+001</x:v>
      </x:c>
      <x:c r="O2" s="19" t="str">
        <x:v>Samsung Galaxy A56 5G Lite thuộc nhóm điện thoại, phù hợp cho nhu cầu học tập, làm việc và giải trí trong website demo bán hàng công nghệ.</x:v>
      </x:c>
      <x:c r="P2" s="19" t="str">
        <x:v>{"screen": "6.7 inch AMOLED 120Hz", "storage": "512GB", "ram": "12GB", "battery": "4500mAh"}</x:v>
      </x:c>
      <x:c r="Q2" s="20" t="b">
        <x:v>0</x:v>
      </x:c>
      <x:c r="R2" s="19" t="str">
        <x:v>active</x:v>
      </x:c>
      <x:c r="S2" s="32" t="str">
        <x:v>2026-04-19</x:v>
      </x:c>
      <x:c r="T2" s="19" t="str">
        <x:v>Mock data generated for demo; not real inventory</x:v>
      </x:c>
    </x:row>
    <x:row r="3" ht="36" customHeight="1">
      <x:c r="A3" s="19" t="n">
        <x:v>2</x:v>
      </x:c>
      <x:c r="B3" s="19" t="str">
        <x:v>TCH-PHN-0002</x:v>
      </x:c>
      <x:c r="C3" s="19" t="str">
        <x:v>Apple iPhone 15</x:v>
      </x:c>
      <x:c r="D3" s="19" t="str">
        <x:v>apple-iphone-15-002</x:v>
      </x:c>
      <x:c r="E3" s="19" t="str">
        <x:v>Điện thoại</x:v>
      </x:c>
      <x:c r="F3" s="19" t="str">
        <x:v>Apple</x:v>
      </x:c>
      <x:c r="G3" s="24" t="n">
        <x:v>4790000</x:v>
      </x:c>
      <x:c r="H3" s="24" t="n">
        <x:v>4790000</x:v>
      </x:c>
      <x:c r="I3" s="26" t="n">
        <x:v>0</x:v>
      </x:c>
      <x:c r="J3" s="28" t="n">
        <x:v>27</x:v>
      </x:c>
      <x:c r="K3" s="30" t="n">
        <x:v>4.1</x:v>
      </x:c>
      <x:c r="L3" s="28" t="n">
        <x:v>616</x:v>
      </x:c>
      <x:c r="M3" s="28" t="n">
        <x:v>12</x:v>
      </x:c>
      <x:c r="N3" s="19" t="str">
        <x:v>https://placehold.co/600x600?text=PHN+002</x:v>
      </x:c>
      <x:c r="O3" s="19" t="str">
        <x:v>Apple iPhone 15 thuộc nhóm điện thoại, phù hợp cho nhu cầu học tập, làm việc và giải trí trong website demo bán hàng công nghệ.</x:v>
      </x:c>
      <x:c r="P3" s="19" t="str">
        <x:v>{"screen": "6.7 inch AMOLED 120Hz", "storage": "512GB", "ram": "12GB", "battery": "5200mAh"}</x:v>
      </x:c>
      <x:c r="Q3" s="20" t="b">
        <x:v>0</x:v>
      </x:c>
      <x:c r="R3" s="19" t="str">
        <x:v>active</x:v>
      </x:c>
      <x:c r="S3" s="32" t="str">
        <x:v>2026-04-18</x:v>
      </x:c>
      <x:c r="T3" s="19" t="str">
        <x:v>Mock data generated for demo; not real inventory</x:v>
      </x:c>
    </x:row>
    <x:row r="4" ht="36" customHeight="1">
      <x:c r="A4" s="19" t="n">
        <x:v>3</x:v>
      </x:c>
      <x:c r="B4" s="19" t="str">
        <x:v>TCH-PHN-0003</x:v>
      </x:c>
      <x:c r="C4" s="19" t="str">
        <x:v>Xiaomi Redmi Note 14 2025</x:v>
      </x:c>
      <x:c r="D4" s="19" t="str">
        <x:v>xiaomi-redmi-note-14-2025-003</x:v>
      </x:c>
      <x:c r="E4" s="19" t="str">
        <x:v>Điện thoại</x:v>
      </x:c>
      <x:c r="F4" s="19" t="str">
        <x:v>Xiaomi</x:v>
      </x:c>
      <x:c r="G4" s="24" t="n">
        <x:v>21890000</x:v>
      </x:c>
      <x:c r="H4" s="24" t="n">
        <x:v>24320000</x:v>
      </x:c>
      <x:c r="I4" s="26" t="n">
        <x:v>10</x:v>
      </x:c>
      <x:c r="J4" s="28" t="n">
        <x:v>103</x:v>
      </x:c>
      <x:c r="K4" s="30" t="n">
        <x:v>4.8</x:v>
      </x:c>
      <x:c r="L4" s="28" t="n">
        <x:v>777</x:v>
      </x:c>
      <x:c r="M4" s="28" t="n">
        <x:v>12</x:v>
      </x:c>
      <x:c r="N4" s="19" t="str">
        <x:v>https://placehold.co/600x600?text=PHN+003</x:v>
      </x:c>
      <x:c r="O4" s="19" t="str">
        <x:v>Xiaomi Redmi Note 14 2025 thuộc nhóm điện thoại, phù hợp cho nhu cầu học tập, làm việc và giải trí trong website demo bán hàng công nghệ.</x:v>
      </x:c>
      <x:c r="P4" s="19" t="str">
        <x:v>{"screen": "6.5 inch AMOLED", "storage": "256GB", "ram": "6GB", "battery": "4500mAh"}</x:v>
      </x:c>
      <x:c r="Q4" s="20" t="b">
        <x:v>0</x:v>
      </x:c>
      <x:c r="R4" s="19" t="str">
        <x:v>active</x:v>
      </x:c>
      <x:c r="S4" s="32" t="str">
        <x:v>2026-03-28</x:v>
      </x:c>
      <x:c r="T4" s="19" t="str">
        <x:v>Mock data generated for demo; not real inventory</x:v>
      </x:c>
    </x:row>
    <x:row r="5" ht="36" customHeight="1">
      <x:c r="A5" s="19" t="n">
        <x:v>4</x:v>
      </x:c>
      <x:c r="B5" s="19" t="str">
        <x:v>TCH-PHN-0004</x:v>
      </x:c>
      <x:c r="C5" s="19" t="str">
        <x:v>OPPO Reno 13F</x:v>
      </x:c>
      <x:c r="D5" s="19" t="str">
        <x:v>oppo-reno-13f-004</x:v>
      </x:c>
      <x:c r="E5" s="19" t="str">
        <x:v>Điện thoại</x:v>
      </x:c>
      <x:c r="F5" s="19" t="str">
        <x:v>OPPO</x:v>
      </x:c>
      <x:c r="G5" s="24" t="n">
        <x:v>7290000</x:v>
      </x:c>
      <x:c r="H5" s="24" t="n">
        <x:v>8580000</x:v>
      </x:c>
      <x:c r="I5" s="26" t="n">
        <x:v>15</x:v>
      </x:c>
      <x:c r="J5" s="28" t="n">
        <x:v>12</x:v>
      </x:c>
      <x:c r="K5" s="30" t="n">
        <x:v>4.2</x:v>
      </x:c>
      <x:c r="L5" s="28" t="n">
        <x:v>352</x:v>
      </x:c>
      <x:c r="M5" s="28" t="n">
        <x:v>24</x:v>
      </x:c>
      <x:c r="N5" s="19" t="str">
        <x:v>https://placehold.co/600x600?text=PHN+004</x:v>
      </x:c>
      <x:c r="O5" s="19" t="str">
        <x:v>OPPO Reno 13F thuộc nhóm điện thoại, phù hợp cho nhu cầu học tập, làm việc và giải trí trong website demo bán hàng công nghệ.</x:v>
      </x:c>
      <x:c r="P5" s="19" t="str">
        <x:v>{"screen": "6.1 inch OLED", "storage": "512GB", "ram": "8GB", "battery": "5200mAh"}</x:v>
      </x:c>
      <x:c r="Q5" s="20" t="b">
        <x:v>0</x:v>
      </x:c>
      <x:c r="R5" s="19" t="str">
        <x:v>active</x:v>
      </x:c>
      <x:c r="S5" s="32" t="str">
        <x:v>2026-02-01</x:v>
      </x:c>
      <x:c r="T5" s="19" t="str">
        <x:v>Mock data generated for demo; not real inventory</x:v>
      </x:c>
    </x:row>
    <x:row r="6" ht="36" customHeight="1">
      <x:c r="A6" s="19" t="n">
        <x:v>5</x:v>
      </x:c>
      <x:c r="B6" s="19" t="str">
        <x:v>TCH-PHN-0005</x:v>
      </x:c>
      <x:c r="C6" s="19" t="str">
        <x:v>Vivo Vivo V40 Lite Pro</x:v>
      </x:c>
      <x:c r="D6" s="19" t="str">
        <x:v>vivo-vivo-v40-lite-pro-005</x:v>
      </x:c>
      <x:c r="E6" s="19" t="str">
        <x:v>Điện thoại</x:v>
      </x:c>
      <x:c r="F6" s="19" t="str">
        <x:v>Vivo</x:v>
      </x:c>
      <x:c r="G6" s="24" t="n">
        <x:v>6790000</x:v>
      </x:c>
      <x:c r="H6" s="24" t="n">
        <x:v>7540000</x:v>
      </x:c>
      <x:c r="I6" s="26" t="n">
        <x:v>10</x:v>
      </x:c>
      <x:c r="J6" s="28" t="n">
        <x:v>106</x:v>
      </x:c>
      <x:c r="K6" s="30" t="n">
        <x:v>4.6</x:v>
      </x:c>
      <x:c r="L6" s="28" t="n">
        <x:v>370</x:v>
      </x:c>
      <x:c r="M6" s="28" t="n">
        <x:v>24</x:v>
      </x:c>
      <x:c r="N6" s="19" t="str">
        <x:v>https://placehold.co/600x600?text=PHN+005</x:v>
      </x:c>
      <x:c r="O6" s="19" t="str">
        <x:v>Vivo Vivo V40 Lite Pro thuộc nhóm điện thoại, phù hợp cho nhu cầu học tập, làm việc và giải trí trong website demo bán hàng công nghệ.</x:v>
      </x:c>
      <x:c r="P6" s="19" t="str">
        <x:v>{"screen": "6.1 inch OLED", "storage": "128GB", "ram": "12GB", "battery": "4500mAh"}</x:v>
      </x:c>
      <x:c r="Q6" s="20" t="b">
        <x:v>0</x:v>
      </x:c>
      <x:c r="R6" s="19" t="str">
        <x:v>active</x:v>
      </x:c>
      <x:c r="S6" s="32" t="str">
        <x:v>2026-03-16</x:v>
      </x:c>
      <x:c r="T6" s="19" t="str">
        <x:v>Mock data generated for demo; not real inventory</x:v>
      </x:c>
    </x:row>
    <x:row r="7" ht="36" customHeight="1">
      <x:c r="A7" s="19" t="n">
        <x:v>6</x:v>
      </x:c>
      <x:c r="B7" s="19" t="str">
        <x:v>TCH-PHN-0006</x:v>
      </x:c>
      <x:c r="C7" s="19" t="str">
        <x:v>realme realme 13 Pro</x:v>
      </x:c>
      <x:c r="D7" s="19" t="str">
        <x:v>realme-realme-13-pro-006</x:v>
      </x:c>
      <x:c r="E7" s="19" t="str">
        <x:v>Điện thoại</x:v>
      </x:c>
      <x:c r="F7" s="19" t="str">
        <x:v>realme</x:v>
      </x:c>
      <x:c r="G7" s="24" t="n">
        <x:v>13090000</x:v>
      </x:c>
      <x:c r="H7" s="24" t="n">
        <x:v>13090000</x:v>
      </x:c>
      <x:c r="I7" s="26" t="n">
        <x:v>0</x:v>
      </x:c>
      <x:c r="J7" s="28" t="n">
        <x:v>48</x:v>
      </x:c>
      <x:c r="K7" s="30" t="n">
        <x:v>4.1</x:v>
      </x:c>
      <x:c r="L7" s="28" t="n">
        <x:v>650</x:v>
      </x:c>
      <x:c r="M7" s="28" t="n">
        <x:v>18</x:v>
      </x:c>
      <x:c r="N7" s="19" t="str">
        <x:v>https://placehold.co/600x600?text=PHN+006</x:v>
      </x:c>
      <x:c r="O7" s="19" t="str">
        <x:v>realme realme 13 Pro thuộc nhóm điện thoại, phù hợp cho nhu cầu học tập, làm việc và giải trí trong website demo bán hàng công nghệ.</x:v>
      </x:c>
      <x:c r="P7" s="19" t="str">
        <x:v>{"screen": "6.5 inch AMOLED", "storage": "128GB", "ram": "12GB", "battery": "5000mAh"}</x:v>
      </x:c>
      <x:c r="Q7" s="20" t="b">
        <x:v>1</x:v>
      </x:c>
      <x:c r="R7" s="19" t="str">
        <x:v>active</x:v>
      </x:c>
      <x:c r="S7" s="32" t="str">
        <x:v>2026-01-19</x:v>
      </x:c>
      <x:c r="T7" s="19" t="str">
        <x:v>Mock data generated for demo; not real inventory</x:v>
      </x:c>
    </x:row>
    <x:row r="8" ht="36" customHeight="1">
      <x:c r="A8" s="19" t="n">
        <x:v>7</x:v>
      </x:c>
      <x:c r="B8" s="19" t="str">
        <x:v>TCH-PHN-0007</x:v>
      </x:c>
      <x:c r="C8" s="19" t="str">
        <x:v>Nokia Nokia G42 Max</x:v>
      </x:c>
      <x:c r="D8" s="19" t="str">
        <x:v>nokia-nokia-g42-max-007</x:v>
      </x:c>
      <x:c r="E8" s="19" t="str">
        <x:v>Điện thoại</x:v>
      </x:c>
      <x:c r="F8" s="19" t="str">
        <x:v>Nokia</x:v>
      </x:c>
      <x:c r="G8" s="24" t="n">
        <x:v>29490000</x:v>
      </x:c>
      <x:c r="H8" s="24" t="n">
        <x:v>31040000</x:v>
      </x:c>
      <x:c r="I8" s="26" t="n">
        <x:v>5</x:v>
      </x:c>
      <x:c r="J8" s="28" t="n">
        <x:v>68</x:v>
      </x:c>
      <x:c r="K8" s="30" t="n">
        <x:v>4.7</x:v>
      </x:c>
      <x:c r="L8" s="28" t="n">
        <x:v>167</x:v>
      </x:c>
      <x:c r="M8" s="28" t="n">
        <x:v>18</x:v>
      </x:c>
      <x:c r="N8" s="19" t="str">
        <x:v>https://placehold.co/600x600?text=PHN+007</x:v>
      </x:c>
      <x:c r="O8" s="19" t="str">
        <x:v>Nokia Nokia G42 Max thuộc nhóm điện thoại, phù hợp cho nhu cầu học tập, làm việc và giải trí trong website demo bán hàng công nghệ.</x:v>
      </x:c>
      <x:c r="P8" s="19" t="str">
        <x:v>{"screen": "6.7 inch AMOLED 120Hz", "storage": "512GB", "ram": "12GB", "battery": "4500mAh"}</x:v>
      </x:c>
      <x:c r="Q8" s="20" t="b">
        <x:v>0</x:v>
      </x:c>
      <x:c r="R8" s="19" t="str">
        <x:v>active</x:v>
      </x:c>
      <x:c r="S8" s="32" t="str">
        <x:v>2026-03-25</x:v>
      </x:c>
      <x:c r="T8" s="19" t="str">
        <x:v>Mock data generated for demo; not real inventory</x:v>
      </x:c>
    </x:row>
    <x:row r="9" ht="36" customHeight="1">
      <x:c r="A9" s="19" t="n">
        <x:v>8</x:v>
      </x:c>
      <x:c r="B9" s="19" t="str">
        <x:v>TCH-PHN-0008</x:v>
      </x:c>
      <x:c r="C9" s="19" t="str">
        <x:v>Nothing Phone 2a SE</x:v>
      </x:c>
      <x:c r="D9" s="19" t="str">
        <x:v>nothing-phone-2a-se-008</x:v>
      </x:c>
      <x:c r="E9" s="19" t="str">
        <x:v>Điện thoại</x:v>
      </x:c>
      <x:c r="F9" s="19" t="str">
        <x:v>Nothing</x:v>
      </x:c>
      <x:c r="G9" s="24" t="n">
        <x:v>5790000</x:v>
      </x:c>
      <x:c r="H9" s="24" t="n">
        <x:v>6230000</x:v>
      </x:c>
      <x:c r="I9" s="26" t="n">
        <x:v>7</x:v>
      </x:c>
      <x:c r="J9" s="28" t="n">
        <x:v>105</x:v>
      </x:c>
      <x:c r="K9" s="30" t="n">
        <x:v>3.8</x:v>
      </x:c>
      <x:c r="L9" s="28" t="n">
        <x:v>323</x:v>
      </x:c>
      <x:c r="M9" s="28" t="n">
        <x:v>18</x:v>
      </x:c>
      <x:c r="N9" s="19" t="str">
        <x:v>https://placehold.co/600x600?text=PHN+008</x:v>
      </x:c>
      <x:c r="O9" s="19" t="str">
        <x:v>Nothing Phone 2a SE thuộc nhóm điện thoại, phù hợp cho nhu cầu học tập, làm việc và giải trí trong website demo bán hàng công nghệ.</x:v>
      </x:c>
      <x:c r="P9" s="19" t="str">
        <x:v>{"screen": "6.1 inch OLED", "storage": "512GB", "ram": "12GB", "battery": "5000mAh"}</x:v>
      </x:c>
      <x:c r="Q9" s="20" t="b">
        <x:v>0</x:v>
      </x:c>
      <x:c r="R9" s="19" t="str">
        <x:v>active</x:v>
      </x:c>
      <x:c r="S9" s="32" t="str">
        <x:v>2026-02-24</x:v>
      </x:c>
      <x:c r="T9" s="19" t="str">
        <x:v>Mock data generated for demo; not real inventory</x:v>
      </x:c>
    </x:row>
    <x:row r="10" ht="36" customHeight="1">
      <x:c r="A10" s="19" t="n">
        <x:v>9</x:v>
      </x:c>
      <x:c r="B10" s="19" t="str">
        <x:v>TCH-PHN-0009</x:v>
      </x:c>
      <x:c r="C10" s="19" t="str">
        <x:v>Samsung Galaxy A56 5G Lite</x:v>
      </x:c>
      <x:c r="D10" s="19" t="str">
        <x:v>samsung-galaxy-a56-5g-lite-009</x:v>
      </x:c>
      <x:c r="E10" s="19" t="str">
        <x:v>Điện thoại</x:v>
      </x:c>
      <x:c r="F10" s="19" t="str">
        <x:v>Samsung</x:v>
      </x:c>
      <x:c r="G10" s="24" t="n">
        <x:v>23990000</x:v>
      </x:c>
      <x:c r="H10" s="24" t="n">
        <x:v>28220000</x:v>
      </x:c>
      <x:c r="I10" s="26" t="n">
        <x:v>15</x:v>
      </x:c>
      <x:c r="J10" s="28" t="n">
        <x:v>113</x:v>
      </x:c>
      <x:c r="K10" s="30" t="n">
        <x:v>4.9</x:v>
      </x:c>
      <x:c r="L10" s="28" t="n">
        <x:v>469</x:v>
      </x:c>
      <x:c r="M10" s="28" t="n">
        <x:v>12</x:v>
      </x:c>
      <x:c r="N10" s="19" t="str">
        <x:v>https://placehold.co/600x600?text=PHN+009</x:v>
      </x:c>
      <x:c r="O10" s="19" t="str">
        <x:v>Samsung Galaxy A56 5G Lite thuộc nhóm điện thoại, phù hợp cho nhu cầu học tập, làm việc và giải trí trong website demo bán hàng công nghệ.</x:v>
      </x:c>
      <x:c r="P10" s="19" t="str">
        <x:v>{"screen": "6.1 inch OLED", "storage": "512GB", "ram": "12GB", "battery": "5200mAh"}</x:v>
      </x:c>
      <x:c r="Q10" s="20" t="b">
        <x:v>0</x:v>
      </x:c>
      <x:c r="R10" s="19" t="str">
        <x:v>active</x:v>
      </x:c>
      <x:c r="S10" s="32" t="str">
        <x:v>2026-03-09</x:v>
      </x:c>
      <x:c r="T10" s="19" t="str">
        <x:v>Mock data generated for demo; not real inventory</x:v>
      </x:c>
    </x:row>
    <x:row r="11" ht="36" customHeight="1">
      <x:c r="A11" s="19" t="n">
        <x:v>10</x:v>
      </x:c>
      <x:c r="B11" s="19" t="str">
        <x:v>TCH-PHN-0010</x:v>
      </x:c>
      <x:c r="C11" s="19" t="str">
        <x:v>Apple iPhone 15 Lite</x:v>
      </x:c>
      <x:c r="D11" s="19" t="str">
        <x:v>apple-iphone-15-lite-010</x:v>
      </x:c>
      <x:c r="E11" s="19" t="str">
        <x:v>Điện thoại</x:v>
      </x:c>
      <x:c r="F11" s="19" t="str">
        <x:v>Apple</x:v>
      </x:c>
      <x:c r="G11" s="24" t="n">
        <x:v>27490000</x:v>
      </x:c>
      <x:c r="H11" s="24" t="n">
        <x:v>32340000</x:v>
      </x:c>
      <x:c r="I11" s="26" t="n">
        <x:v>15</x:v>
      </x:c>
      <x:c r="J11" s="28" t="n">
        <x:v>114</x:v>
      </x:c>
      <x:c r="K11" s="30" t="n">
        <x:v>4.5</x:v>
      </x:c>
      <x:c r="L11" s="28" t="n">
        <x:v>370</x:v>
      </x:c>
      <x:c r="M11" s="28" t="n">
        <x:v>12</x:v>
      </x:c>
      <x:c r="N11" s="19" t="str">
        <x:v>https://placehold.co/600x600?text=PHN+010</x:v>
      </x:c>
      <x:c r="O11" s="19" t="str">
        <x:v>Apple iPhone 15 Lite thuộc nhóm điện thoại, phù hợp cho nhu cầu học tập, làm việc và giải trí trong website demo bán hàng công nghệ.</x:v>
      </x:c>
      <x:c r="P11" s="19" t="str">
        <x:v>{"screen": "6.1 inch OLED", "storage": "512GB", "ram": "8GB", "battery": "4500mAh"}</x:v>
      </x:c>
      <x:c r="Q11" s="20" t="b">
        <x:v>0</x:v>
      </x:c>
      <x:c r="R11" s="19" t="str">
        <x:v>active</x:v>
      </x:c>
      <x:c r="S11" s="32" t="str">
        <x:v>2026-01-13</x:v>
      </x:c>
      <x:c r="T11" s="19" t="str">
        <x:v>Mock data generated for demo; not real inventory</x:v>
      </x:c>
    </x:row>
    <x:row r="12" ht="36" customHeight="1">
      <x:c r="A12" s="19" t="n">
        <x:v>11</x:v>
      </x:c>
      <x:c r="B12" s="19" t="str">
        <x:v>TCH-PHN-0011</x:v>
      </x:c>
      <x:c r="C12" s="19" t="str">
        <x:v>Xiaomi Redmi Note 14 SE</x:v>
      </x:c>
      <x:c r="D12" s="19" t="str">
        <x:v>xiaomi-redmi-note-14-se-011</x:v>
      </x:c>
      <x:c r="E12" s="19" t="str">
        <x:v>Điện thoại</x:v>
      </x:c>
      <x:c r="F12" s="19" t="str">
        <x:v>Xiaomi</x:v>
      </x:c>
      <x:c r="G12" s="24" t="n">
        <x:v>7990000</x:v>
      </x:c>
      <x:c r="H12" s="24" t="n">
        <x:v>8410000</x:v>
      </x:c>
      <x:c r="I12" s="26" t="n">
        <x:v>5</x:v>
      </x:c>
      <x:c r="J12" s="28" t="n">
        <x:v>80</x:v>
      </x:c>
      <x:c r="K12" s="30" t="n">
        <x:v>4</x:v>
      </x:c>
      <x:c r="L12" s="28" t="n">
        <x:v>696</x:v>
      </x:c>
      <x:c r="M12" s="28" t="n">
        <x:v>18</x:v>
      </x:c>
      <x:c r="N12" s="19" t="str">
        <x:v>https://placehold.co/600x600?text=PHN+011</x:v>
      </x:c>
      <x:c r="O12" s="19" t="str">
        <x:v>Xiaomi Redmi Note 14 SE thuộc nhóm điện thoại, phù hợp cho nhu cầu học tập, làm việc và giải trí trong website demo bán hàng công nghệ.</x:v>
      </x:c>
      <x:c r="P12" s="19" t="str">
        <x:v>{"screen": "6.5 inch AMOLED", "storage": "256GB", "ram": "12GB", "battery": "5000mAh"}</x:v>
      </x:c>
      <x:c r="Q12" s="20" t="b">
        <x:v>0</x:v>
      </x:c>
      <x:c r="R12" s="19" t="str">
        <x:v>active</x:v>
      </x:c>
      <x:c r="S12" s="32" t="str">
        <x:v>2026-05-16</x:v>
      </x:c>
      <x:c r="T12" s="19" t="str">
        <x:v>Mock data generated for demo; not real inventory</x:v>
      </x:c>
    </x:row>
    <x:row r="13" ht="36" customHeight="1">
      <x:c r="A13" s="19" t="n">
        <x:v>12</x:v>
      </x:c>
      <x:c r="B13" s="19" t="str">
        <x:v>TCH-PHN-0012</x:v>
      </x:c>
      <x:c r="C13" s="19" t="str">
        <x:v>OPPO Reno 13F Plus</x:v>
      </x:c>
      <x:c r="D13" s="19" t="str">
        <x:v>oppo-reno-13f-plus-012</x:v>
      </x:c>
      <x:c r="E13" s="19" t="str">
        <x:v>Điện thoại</x:v>
      </x:c>
      <x:c r="F13" s="19" t="str">
        <x:v>OPPO</x:v>
      </x:c>
      <x:c r="G13" s="24" t="n">
        <x:v>26190000</x:v>
      </x:c>
      <x:c r="H13" s="24" t="n">
        <x:v>26190000</x:v>
      </x:c>
      <x:c r="I13" s="26" t="n">
        <x:v>0</x:v>
      </x:c>
      <x:c r="J13" s="28" t="n">
        <x:v>87</x:v>
      </x:c>
      <x:c r="K13" s="30" t="n">
        <x:v>4.7</x:v>
      </x:c>
      <x:c r="L13" s="28" t="n">
        <x:v>698</x:v>
      </x:c>
      <x:c r="M13" s="28" t="n">
        <x:v>24</x:v>
      </x:c>
      <x:c r="N13" s="19" t="str">
        <x:v>https://placehold.co/600x600?text=PHN+012</x:v>
      </x:c>
      <x:c r="O13" s="19" t="str">
        <x:v>OPPO Reno 13F Plus thuộc nhóm điện thoại, phù hợp cho nhu cầu học tập, làm việc và giải trí trong website demo bán hàng công nghệ.</x:v>
      </x:c>
      <x:c r="P13" s="19" t="str">
        <x:v>{"screen": "6.7 inch AMOLED 120Hz", "storage": "256GB", "ram": "6GB", "battery": "5000mAh"}</x:v>
      </x:c>
      <x:c r="Q13" s="20" t="b">
        <x:v>0</x:v>
      </x:c>
      <x:c r="R13" s="19" t="str">
        <x:v>active</x:v>
      </x:c>
      <x:c r="S13" s="32" t="str">
        <x:v>2026-04-22</x:v>
      </x:c>
      <x:c r="T13" s="19" t="str">
        <x:v>Mock data generated for demo; not real inventory</x:v>
      </x:c>
    </x:row>
    <x:row r="14" ht="36" customHeight="1">
      <x:c r="A14" s="19" t="n">
        <x:v>13</x:v>
      </x:c>
      <x:c r="B14" s="19" t="str">
        <x:v>TCH-LAP-0013</x:v>
      </x:c>
      <x:c r="C14" s="19" t="str">
        <x:v>Dell Inspiron 15 2025</x:v>
      </x:c>
      <x:c r="D14" s="19" t="str">
        <x:v>dell-inspiron-15-2025-013</x:v>
      </x:c>
      <x:c r="E14" s="19" t="str">
        <x:v>Laptop</x:v>
      </x:c>
      <x:c r="F14" s="19" t="str">
        <x:v>Dell</x:v>
      </x:c>
      <x:c r="G14" s="24" t="n">
        <x:v>27590000</x:v>
      </x:c>
      <x:c r="H14" s="24" t="n">
        <x:v>27590000</x:v>
      </x:c>
      <x:c r="I14" s="26" t="n">
        <x:v>0</x:v>
      </x:c>
      <x:c r="J14" s="28" t="n">
        <x:v>92</x:v>
      </x:c>
      <x:c r="K14" s="30" t="n">
        <x:v>4.9</x:v>
      </x:c>
      <x:c r="L14" s="28" t="n">
        <x:v>269</x:v>
      </x:c>
      <x:c r="M14" s="28" t="n">
        <x:v>36</x:v>
      </x:c>
      <x:c r="N14" s="19" t="str">
        <x:v>https://placehold.co/600x600?text=LAP+013</x:v>
      </x:c>
      <x:c r="O14" s="19" t="str">
        <x:v>Dell Inspiron 15 2025 thuộc nhóm laptop, phù hợp cho nhu cầu học tập, làm việc và giải trí trong website demo bán hàng công nghệ.</x:v>
      </x:c>
      <x:c r="P14" s="19" t="str">
        <x:v>{"cpu": "Apple M3", "ram": "8GB", "storage": "1TB SSD", "screen": "16 inch 2.5K"}</x:v>
      </x:c>
      <x:c r="Q14" s="20" t="b">
        <x:v>0</x:v>
      </x:c>
      <x:c r="R14" s="19" t="str">
        <x:v>active</x:v>
      </x:c>
      <x:c r="S14" s="32" t="str">
        <x:v>2026-05-10</x:v>
      </x:c>
      <x:c r="T14" s="19" t="str">
        <x:v>Mock data generated for demo; not real inventory</x:v>
      </x:c>
    </x:row>
    <x:row r="15" ht="36" customHeight="1">
      <x:c r="A15" s="19" t="n">
        <x:v>14</x:v>
      </x:c>
      <x:c r="B15" s="19" t="str">
        <x:v>TCH-LAP-0014</x:v>
      </x:c>
      <x:c r="C15" s="19" t="str">
        <x:v>HP Pavilion 14 Max</x:v>
      </x:c>
      <x:c r="D15" s="19" t="str">
        <x:v>hp-pavilion-14-max-014</x:v>
      </x:c>
      <x:c r="E15" s="19" t="str">
        <x:v>Laptop</x:v>
      </x:c>
      <x:c r="F15" s="19" t="str">
        <x:v>HP</x:v>
      </x:c>
      <x:c r="G15" s="24" t="n">
        <x:v>17190000</x:v>
      </x:c>
      <x:c r="H15" s="24" t="n">
        <x:v>18090000</x:v>
      </x:c>
      <x:c r="I15" s="26" t="n">
        <x:v>5</x:v>
      </x:c>
      <x:c r="J15" s="28" t="n">
        <x:v>47</x:v>
      </x:c>
      <x:c r="K15" s="30" t="n">
        <x:v>4.7</x:v>
      </x:c>
      <x:c r="L15" s="28" t="n">
        <x:v>552</x:v>
      </x:c>
      <x:c r="M15" s="28" t="n">
        <x:v>36</x:v>
      </x:c>
      <x:c r="N15" s="19" t="str">
        <x:v>https://placehold.co/600x600?text=LAP+014</x:v>
      </x:c>
      <x:c r="O15" s="19" t="str">
        <x:v>HP Pavilion 14 Max thuộc nhóm laptop, phù hợp cho nhu cầu học tập, làm việc và giải trí trong website demo bán hàng công nghệ.</x:v>
      </x:c>
      <x:c r="P15" s="19" t="str">
        <x:v>{"cpu": "Apple M3", "ram": "16GB", "storage": "1TB SSD", "screen": "14 inch FHD"}</x:v>
      </x:c>
      <x:c r="Q15" s="20" t="b">
        <x:v>0</x:v>
      </x:c>
      <x:c r="R15" s="19" t="str">
        <x:v>active</x:v>
      </x:c>
      <x:c r="S15" s="32" t="str">
        <x:v>2026-01-29</x:v>
      </x:c>
      <x:c r="T15" s="19" t="str">
        <x:v>Mock data generated for demo; not real inventory</x:v>
      </x:c>
    </x:row>
    <x:row r="16" ht="36" customHeight="1">
      <x:c r="A16" s="19" t="n">
        <x:v>15</x:v>
      </x:c>
      <x:c r="B16" s="19" t="str">
        <x:v>TCH-LAP-0015</x:v>
      </x:c>
      <x:c r="C16" s="19" t="str">
        <x:v>Lenovo IdeaPad Slim 5 Plus</x:v>
      </x:c>
      <x:c r="D16" s="19" t="str">
        <x:v>lenovo-ideapad-slim-5-plus-015</x:v>
      </x:c>
      <x:c r="E16" s="19" t="str">
        <x:v>Laptop</x:v>
      </x:c>
      <x:c r="F16" s="19" t="str">
        <x:v>Lenovo</x:v>
      </x:c>
      <x:c r="G16" s="24" t="n">
        <x:v>44990000</x:v>
      </x:c>
      <x:c r="H16" s="24" t="n">
        <x:v>49990000</x:v>
      </x:c>
      <x:c r="I16" s="26" t="n">
        <x:v>10</x:v>
      </x:c>
      <x:c r="J16" s="28" t="n">
        <x:v>30</x:v>
      </x:c>
      <x:c r="K16" s="30" t="n">
        <x:v>3.9</x:v>
      </x:c>
      <x:c r="L16" s="28" t="n">
        <x:v>580</x:v>
      </x:c>
      <x:c r="M16" s="28" t="n">
        <x:v>12</x:v>
      </x:c>
      <x:c r="N16" s="19" t="str">
        <x:v>https://placehold.co/600x600?text=LAP+015</x:v>
      </x:c>
      <x:c r="O16" s="19" t="str">
        <x:v>Lenovo IdeaPad Slim 5 Plus thuộc nhóm laptop, phù hợp cho nhu cầu học tập, làm việc và giải trí trong website demo bán hàng công nghệ.</x:v>
      </x:c>
      <x:c r="P16" s="19" t="str">
        <x:v>{"cpu": "AMD Ryzen 7", "ram": "8GB", "storage": "512GB SSD", "screen": "14 inch FHD"}</x:v>
      </x:c>
      <x:c r="Q16" s="20" t="b">
        <x:v>1</x:v>
      </x:c>
      <x:c r="R16" s="19" t="str">
        <x:v>active</x:v>
      </x:c>
      <x:c r="S16" s="32" t="str">
        <x:v>2026-05-02</x:v>
      </x:c>
      <x:c r="T16" s="19" t="str">
        <x:v>Mock data generated for demo; not real inventory</x:v>
      </x:c>
    </x:row>
    <x:row r="17" ht="36" customHeight="1">
      <x:c r="A17" s="19" t="n">
        <x:v>16</x:v>
      </x:c>
      <x:c r="B17" s="19" t="str">
        <x:v>TCH-LAP-0016</x:v>
      </x:c>
      <x:c r="C17" s="19" t="str">
        <x:v>ASUS Vivobook 15 Max</x:v>
      </x:c>
      <x:c r="D17" s="19" t="str">
        <x:v>asus-vivobook-15-max-016</x:v>
      </x:c>
      <x:c r="E17" s="19" t="str">
        <x:v>Laptop</x:v>
      </x:c>
      <x:c r="F17" s="19" t="str">
        <x:v>ASUS</x:v>
      </x:c>
      <x:c r="G17" s="24" t="n">
        <x:v>15790000</x:v>
      </x:c>
      <x:c r="H17" s="24" t="n">
        <x:v>17540000</x:v>
      </x:c>
      <x:c r="I17" s="26" t="n">
        <x:v>10</x:v>
      </x:c>
      <x:c r="J17" s="28" t="n">
        <x:v>67</x:v>
      </x:c>
      <x:c r="K17" s="30" t="n">
        <x:v>4.8</x:v>
      </x:c>
      <x:c r="L17" s="28" t="n">
        <x:v>433</x:v>
      </x:c>
      <x:c r="M17" s="28" t="n">
        <x:v>12</x:v>
      </x:c>
      <x:c r="N17" s="19" t="str">
        <x:v>https://placehold.co/600x600?text=LAP+016</x:v>
      </x:c>
      <x:c r="O17" s="19" t="str">
        <x:v>ASUS Vivobook 15 Max thuộc nhóm laptop, phù hợp cho nhu cầu học tập, làm việc và giải trí trong website demo bán hàng công nghệ.</x:v>
      </x:c>
      <x:c r="P17" s="19" t="str">
        <x:v>{"cpu": "Intel Core i7", "ram": "32GB", "storage": "1TB SSD", "screen": "15.6 inch FHD"}</x:v>
      </x:c>
      <x:c r="Q17" s="20" t="b">
        <x:v>0</x:v>
      </x:c>
      <x:c r="R17" s="19" t="str">
        <x:v>active</x:v>
      </x:c>
      <x:c r="S17" s="32" t="str">
        <x:v>2026-04-06</x:v>
      </x:c>
      <x:c r="T17" s="19" t="str">
        <x:v>Mock data generated for demo; not real inventory</x:v>
      </x:c>
    </x:row>
    <x:row r="18" ht="36" customHeight="1">
      <x:c r="A18" s="19" t="n">
        <x:v>17</x:v>
      </x:c>
      <x:c r="B18" s="19" t="str">
        <x:v>TCH-LAP-0017</x:v>
      </x:c>
      <x:c r="C18" s="19" t="str">
        <x:v>Acer Aspire 5 Pro</x:v>
      </x:c>
      <x:c r="D18" s="19" t="str">
        <x:v>acer-aspire-5-pro-017</x:v>
      </x:c>
      <x:c r="E18" s="19" t="str">
        <x:v>Laptop</x:v>
      </x:c>
      <x:c r="F18" s="19" t="str">
        <x:v>Acer</x:v>
      </x:c>
      <x:c r="G18" s="24" t="n">
        <x:v>45890000</x:v>
      </x:c>
      <x:c r="H18" s="24" t="n">
        <x:v>57360000</x:v>
      </x:c>
      <x:c r="I18" s="26" t="n">
        <x:v>20</x:v>
      </x:c>
      <x:c r="J18" s="28" t="n">
        <x:v>15</x:v>
      </x:c>
      <x:c r="K18" s="30" t="n">
        <x:v>4.1</x:v>
      </x:c>
      <x:c r="L18" s="28" t="n">
        <x:v>65</x:v>
      </x:c>
      <x:c r="M18" s="28" t="n">
        <x:v>24</x:v>
      </x:c>
      <x:c r="N18" s="19" t="str">
        <x:v>https://placehold.co/600x600?text=LAP+017</x:v>
      </x:c>
      <x:c r="O18" s="19" t="str">
        <x:v>Acer Aspire 5 Pro thuộc nhóm laptop, phù hợp cho nhu cầu học tập, làm việc và giải trí trong website demo bán hàng công nghệ.</x:v>
      </x:c>
      <x:c r="P18" s="19" t="str">
        <x:v>{"cpu": "Apple M3", "ram": "8GB", "storage": "512GB SSD", "screen": "14 inch FHD"}</x:v>
      </x:c>
      <x:c r="Q18" s="20" t="b">
        <x:v>1</x:v>
      </x:c>
      <x:c r="R18" s="19" t="str">
        <x:v>active</x:v>
      </x:c>
      <x:c r="S18" s="32" t="str">
        <x:v>2026-01-19</x:v>
      </x:c>
      <x:c r="T18" s="19" t="str">
        <x:v>Mock data generated for demo; not real inventory</x:v>
      </x:c>
    </x:row>
    <x:row r="19" ht="36" customHeight="1">
      <x:c r="A19" s="19" t="n">
        <x:v>18</x:v>
      </x:c>
      <x:c r="B19" s="19" t="str">
        <x:v>TCH-LAP-0018</x:v>
      </x:c>
      <x:c r="C19" s="19" t="str">
        <x:v>MSI Modern 14 Lite</x:v>
      </x:c>
      <x:c r="D19" s="19" t="str">
        <x:v>msi-modern-14-lite-018</x:v>
      </x:c>
      <x:c r="E19" s="19" t="str">
        <x:v>Laptop</x:v>
      </x:c>
      <x:c r="F19" s="19" t="str">
        <x:v>MSI</x:v>
      </x:c>
      <x:c r="G19" s="24" t="n">
        <x:v>34890000</x:v>
      </x:c>
      <x:c r="H19" s="24" t="n">
        <x:v>34890000</x:v>
      </x:c>
      <x:c r="I19" s="26" t="n">
        <x:v>0</x:v>
      </x:c>
      <x:c r="J19" s="28" t="n">
        <x:v>29</x:v>
      </x:c>
      <x:c r="K19" s="30" t="n">
        <x:v>3.9</x:v>
      </x:c>
      <x:c r="L19" s="28" t="n">
        <x:v>32</x:v>
      </x:c>
      <x:c r="M19" s="28" t="n">
        <x:v>24</x:v>
      </x:c>
      <x:c r="N19" s="19" t="str">
        <x:v>https://placehold.co/600x600?text=LAP+018</x:v>
      </x:c>
      <x:c r="O19" s="19" t="str">
        <x:v>MSI Modern 14 Lite thuộc nhóm laptop, phù hợp cho nhu cầu học tập, làm việc và giải trí trong website demo bán hàng công nghệ.</x:v>
      </x:c>
      <x:c r="P19" s="19" t="str">
        <x:v>{"cpu": "Intel Core i7", "ram": "16GB", "storage": "1TB SSD", "screen": "14 inch FHD"}</x:v>
      </x:c>
      <x:c r="Q19" s="20" t="b">
        <x:v>1</x:v>
      </x:c>
      <x:c r="R19" s="19" t="str">
        <x:v>active</x:v>
      </x:c>
      <x:c r="S19" s="32" t="str">
        <x:v>2026-05-19</x:v>
      </x:c>
      <x:c r="T19" s="19" t="str">
        <x:v>Mock data generated for demo; not real inventory</x:v>
      </x:c>
    </x:row>
    <x:row r="20" ht="36" customHeight="1">
      <x:c r="A20" s="19" t="n">
        <x:v>19</x:v>
      </x:c>
      <x:c r="B20" s="19" t="str">
        <x:v>TCH-LAP-0019</x:v>
      </x:c>
      <x:c r="C20" s="19" t="str">
        <x:v>Apple MacBook Air M3 2025</x:v>
      </x:c>
      <x:c r="D20" s="19" t="str">
        <x:v>apple-macbook-air-m3-2025-019</x:v>
      </x:c>
      <x:c r="E20" s="19" t="str">
        <x:v>Laptop</x:v>
      </x:c>
      <x:c r="F20" s="19" t="str">
        <x:v>Apple</x:v>
      </x:c>
      <x:c r="G20" s="24" t="n">
        <x:v>38690000</x:v>
      </x:c>
      <x:c r="H20" s="24" t="n">
        <x:v>48360000</x:v>
      </x:c>
      <x:c r="I20" s="26" t="n">
        <x:v>20</x:v>
      </x:c>
      <x:c r="J20" s="28" t="n">
        <x:v>31</x:v>
      </x:c>
      <x:c r="K20" s="30" t="n">
        <x:v>4.7</x:v>
      </x:c>
      <x:c r="L20" s="28" t="n">
        <x:v>826</x:v>
      </x:c>
      <x:c r="M20" s="28" t="n">
        <x:v>24</x:v>
      </x:c>
      <x:c r="N20" s="19" t="str">
        <x:v>https://placehold.co/600x600?text=LAP+019</x:v>
      </x:c>
      <x:c r="O20" s="19" t="str">
        <x:v>Apple MacBook Air M3 2025 thuộc nhóm laptop, phù hợp cho nhu cầu học tập, làm việc và giải trí trong website demo bán hàng công nghệ.</x:v>
      </x:c>
      <x:c r="P20" s="19" t="str">
        <x:v>{"cpu": "Intel Core i5", "ram": "32GB", "storage": "1TB SSD", "screen": "15.6 inch FHD"}</x:v>
      </x:c>
      <x:c r="Q20" s="20" t="b">
        <x:v>0</x:v>
      </x:c>
      <x:c r="R20" s="19" t="str">
        <x:v>active</x:v>
      </x:c>
      <x:c r="S20" s="32" t="str">
        <x:v>2026-04-19</x:v>
      </x:c>
      <x:c r="T20" s="19" t="str">
        <x:v>Mock data generated for demo; not real inventory</x:v>
      </x:c>
    </x:row>
    <x:row r="21" ht="36" customHeight="1">
      <x:c r="A21" s="19" t="n">
        <x:v>20</x:v>
      </x:c>
      <x:c r="B21" s="19" t="str">
        <x:v>TCH-LAP-0020</x:v>
      </x:c>
      <x:c r="C21" s="19" t="str">
        <x:v>Gigabyte G5 Gaming Pro</x:v>
      </x:c>
      <x:c r="D21" s="19" t="str">
        <x:v>gigabyte-g5-gaming-pro-020</x:v>
      </x:c>
      <x:c r="E21" s="19" t="str">
        <x:v>Laptop</x:v>
      </x:c>
      <x:c r="F21" s="19" t="str">
        <x:v>Gigabyte</x:v>
      </x:c>
      <x:c r="G21" s="24" t="n">
        <x:v>28190000</x:v>
      </x:c>
      <x:c r="H21" s="24" t="n">
        <x:v>28190000</x:v>
      </x:c>
      <x:c r="I21" s="26" t="n">
        <x:v>0</x:v>
      </x:c>
      <x:c r="J21" s="28" t="n">
        <x:v>86</x:v>
      </x:c>
      <x:c r="K21" s="30" t="n">
        <x:v>4.6</x:v>
      </x:c>
      <x:c r="L21" s="28" t="n">
        <x:v>661</x:v>
      </x:c>
      <x:c r="M21" s="28" t="n">
        <x:v>12</x:v>
      </x:c>
      <x:c r="N21" s="19" t="str">
        <x:v>https://placehold.co/600x600?text=LAP+020</x:v>
      </x:c>
      <x:c r="O21" s="19" t="str">
        <x:v>Gigabyte G5 Gaming Pro thuộc nhóm laptop, phù hợp cho nhu cầu học tập, làm việc và giải trí trong website demo bán hàng công nghệ.</x:v>
      </x:c>
      <x:c r="P21" s="19" t="str">
        <x:v>{"cpu": "AMD Ryzen 5", "ram": "8GB", "storage": "512GB SSD", "screen": "14 inch FHD"}</x:v>
      </x:c>
      <x:c r="Q21" s="20" t="b">
        <x:v>1</x:v>
      </x:c>
      <x:c r="R21" s="19" t="str">
        <x:v>active</x:v>
      </x:c>
      <x:c r="S21" s="32" t="str">
        <x:v>2026-02-18</x:v>
      </x:c>
      <x:c r="T21" s="19" t="str">
        <x:v>Mock data generated for demo; not real inventory</x:v>
      </x:c>
    </x:row>
    <x:row r="22" ht="36" customHeight="1">
      <x:c r="A22" s="19" t="n">
        <x:v>21</x:v>
      </x:c>
      <x:c r="B22" s="19" t="str">
        <x:v>TCH-LAP-0021</x:v>
      </x:c>
      <x:c r="C22" s="19" t="str">
        <x:v>Dell Inspiron 15 Max</x:v>
      </x:c>
      <x:c r="D22" s="19" t="str">
        <x:v>dell-inspiron-15-max-021</x:v>
      </x:c>
      <x:c r="E22" s="19" t="str">
        <x:v>Laptop</x:v>
      </x:c>
      <x:c r="F22" s="19" t="str">
        <x:v>Dell</x:v>
      </x:c>
      <x:c r="G22" s="24" t="n">
        <x:v>27390000</x:v>
      </x:c>
      <x:c r="H22" s="24" t="n">
        <x:v>28830000</x:v>
      </x:c>
      <x:c r="I22" s="26" t="n">
        <x:v>5</x:v>
      </x:c>
      <x:c r="J22" s="28" t="n">
        <x:v>54</x:v>
      </x:c>
      <x:c r="K22" s="30" t="n">
        <x:v>4</x:v>
      </x:c>
      <x:c r="L22" s="28" t="n">
        <x:v>473</x:v>
      </x:c>
      <x:c r="M22" s="28" t="n">
        <x:v>12</x:v>
      </x:c>
      <x:c r="N22" s="19" t="str">
        <x:v>https://placehold.co/600x600?text=LAP+021</x:v>
      </x:c>
      <x:c r="O22" s="19" t="str">
        <x:v>Dell Inspiron 15 Max thuộc nhóm laptop, phù hợp cho nhu cầu học tập, làm việc và giải trí trong website demo bán hàng công nghệ.</x:v>
      </x:c>
      <x:c r="P22" s="19" t="str">
        <x:v>{"cpu": "Intel Core i5", "ram": "16GB", "storage": "512GB SSD", "screen": "14 inch FHD"}</x:v>
      </x:c>
      <x:c r="Q22" s="20" t="b">
        <x:v>0</x:v>
      </x:c>
      <x:c r="R22" s="19" t="str">
        <x:v>active</x:v>
      </x:c>
      <x:c r="S22" s="32" t="str">
        <x:v>2026-05-19</x:v>
      </x:c>
      <x:c r="T22" s="19" t="str">
        <x:v>Mock data generated for demo; not real inventory</x:v>
      </x:c>
    </x:row>
    <x:row r="23" ht="36" customHeight="1">
      <x:c r="A23" s="19" t="n">
        <x:v>22</x:v>
      </x:c>
      <x:c r="B23" s="19" t="str">
        <x:v>TCH-LAP-0022</x:v>
      </x:c>
      <x:c r="C23" s="19" t="str">
        <x:v>HP Pavilion 14 SE</x:v>
      </x:c>
      <x:c r="D23" s="19" t="str">
        <x:v>hp-pavilion-14-se-022</x:v>
      </x:c>
      <x:c r="E23" s="19" t="str">
        <x:v>Laptop</x:v>
      </x:c>
      <x:c r="F23" s="19" t="str">
        <x:v>HP</x:v>
      </x:c>
      <x:c r="G23" s="24" t="n">
        <x:v>9590000</x:v>
      </x:c>
      <x:c r="H23" s="24" t="n">
        <x:v>9590000</x:v>
      </x:c>
      <x:c r="I23" s="26" t="n">
        <x:v>0</x:v>
      </x:c>
      <x:c r="J23" s="28" t="n">
        <x:v>118</x:v>
      </x:c>
      <x:c r="K23" s="30" t="n">
        <x:v>4.7</x:v>
      </x:c>
      <x:c r="L23" s="28" t="n">
        <x:v>242</x:v>
      </x:c>
      <x:c r="M23" s="28" t="n">
        <x:v>12</x:v>
      </x:c>
      <x:c r="N23" s="19" t="str">
        <x:v>https://placehold.co/600x600?text=LAP+022</x:v>
      </x:c>
      <x:c r="O23" s="19" t="str">
        <x:v>HP Pavilion 14 SE thuộc nhóm laptop, phù hợp cho nhu cầu học tập, làm việc và giải trí trong website demo bán hàng công nghệ.</x:v>
      </x:c>
      <x:c r="P23" s="19" t="str">
        <x:v>{"cpu": "AMD Ryzen 7", "ram": "8GB", "storage": "1TB SSD", "screen": "14 inch FHD"}</x:v>
      </x:c>
      <x:c r="Q23" s="20" t="b">
        <x:v>0</x:v>
      </x:c>
      <x:c r="R23" s="19" t="str">
        <x:v>active</x:v>
      </x:c>
      <x:c r="S23" s="32" t="str">
        <x:v>2026-02-12</x:v>
      </x:c>
      <x:c r="T23" s="19" t="str">
        <x:v>Mock data generated for demo; not real inventory</x:v>
      </x:c>
    </x:row>
    <x:row r="24" ht="36" customHeight="1">
      <x:c r="A24" s="19" t="n">
        <x:v>23</x:v>
      </x:c>
      <x:c r="B24" s="19" t="str">
        <x:v>TCH-LAP-0023</x:v>
      </x:c>
      <x:c r="C24" s="19" t="str">
        <x:v>Lenovo IdeaPad Slim 5 Pro</x:v>
      </x:c>
      <x:c r="D24" s="19" t="str">
        <x:v>lenovo-ideapad-slim-5-pro-023</x:v>
      </x:c>
      <x:c r="E24" s="19" t="str">
        <x:v>Laptop</x:v>
      </x:c>
      <x:c r="F24" s="19" t="str">
        <x:v>Lenovo</x:v>
      </x:c>
      <x:c r="G24" s="24" t="n">
        <x:v>9090000</x:v>
      </x:c>
      <x:c r="H24" s="24" t="n">
        <x:v>10690000</x:v>
      </x:c>
      <x:c r="I24" s="26" t="n">
        <x:v>15</x:v>
      </x:c>
      <x:c r="J24" s="28" t="n">
        <x:v>33</x:v>
      </x:c>
      <x:c r="K24" s="30" t="n">
        <x:v>4.9</x:v>
      </x:c>
      <x:c r="L24" s="28" t="n">
        <x:v>803</x:v>
      </x:c>
      <x:c r="M24" s="28" t="n">
        <x:v>24</x:v>
      </x:c>
      <x:c r="N24" s="19" t="str">
        <x:v>https://placehold.co/600x600?text=LAP+023</x:v>
      </x:c>
      <x:c r="O24" s="19" t="str">
        <x:v>Lenovo IdeaPad Slim 5 Pro thuộc nhóm laptop, phù hợp cho nhu cầu học tập, làm việc và giải trí trong website demo bán hàng công nghệ.</x:v>
      </x:c>
      <x:c r="P24" s="19" t="str">
        <x:v>{"cpu": "Apple M3", "ram": "32GB", "storage": "1TB SSD", "screen": "14 inch FHD"}</x:v>
      </x:c>
      <x:c r="Q24" s="20" t="b">
        <x:v>0</x:v>
      </x:c>
      <x:c r="R24" s="19" t="str">
        <x:v>active</x:v>
      </x:c>
      <x:c r="S24" s="32" t="str">
        <x:v>2026-02-18</x:v>
      </x:c>
      <x:c r="T24" s="19" t="str">
        <x:v>Mock data generated for demo; not real inventory</x:v>
      </x:c>
    </x:row>
    <x:row r="25" ht="36" customHeight="1">
      <x:c r="A25" s="19" t="n">
        <x:v>24</x:v>
      </x:c>
      <x:c r="B25" s="19" t="str">
        <x:v>TCH-LAP-0024</x:v>
      </x:c>
      <x:c r="C25" s="19" t="str">
        <x:v>ASUS Vivobook 15 Plus</x:v>
      </x:c>
      <x:c r="D25" s="19" t="str">
        <x:v>asus-vivobook-15-plus-024</x:v>
      </x:c>
      <x:c r="E25" s="19" t="str">
        <x:v>Laptop</x:v>
      </x:c>
      <x:c r="F25" s="19" t="str">
        <x:v>ASUS</x:v>
      </x:c>
      <x:c r="G25" s="24" t="n">
        <x:v>17990000</x:v>
      </x:c>
      <x:c r="H25" s="24" t="n">
        <x:v>17990000</x:v>
      </x:c>
      <x:c r="I25" s="26" t="n">
        <x:v>0</x:v>
      </x:c>
      <x:c r="J25" s="28" t="n">
        <x:v>74</x:v>
      </x:c>
      <x:c r="K25" s="30" t="n">
        <x:v>4.7</x:v>
      </x:c>
      <x:c r="L25" s="28" t="n">
        <x:v>62</x:v>
      </x:c>
      <x:c r="M25" s="28" t="n">
        <x:v>36</x:v>
      </x:c>
      <x:c r="N25" s="19" t="str">
        <x:v>https://placehold.co/600x600?text=LAP+024</x:v>
      </x:c>
      <x:c r="O25" s="19" t="str">
        <x:v>ASUS Vivobook 15 Plus thuộc nhóm laptop, phù hợp cho nhu cầu học tập, làm việc và giải trí trong website demo bán hàng công nghệ.</x:v>
      </x:c>
      <x:c r="P25" s="19" t="str">
        <x:v>{"cpu": "Intel Core i5", "ram": "32GB", "storage": "1TB SSD", "screen": "16 inch 2.5K"}</x:v>
      </x:c>
      <x:c r="Q25" s="20" t="b">
        <x:v>0</x:v>
      </x:c>
      <x:c r="R25" s="19" t="str">
        <x:v>active</x:v>
      </x:c>
      <x:c r="S25" s="32" t="str">
        <x:v>2026-05-16</x:v>
      </x:c>
      <x:c r="T25" s="19" t="str">
        <x:v>Mock data generated for demo; not real inventory</x:v>
      </x:c>
    </x:row>
    <x:row r="26" ht="36" customHeight="1">
      <x:c r="A26" s="19" t="n">
        <x:v>25</x:v>
      </x:c>
      <x:c r="B26" s="19" t="str">
        <x:v>TCH-TAB-0025</x:v>
      </x:c>
      <x:c r="C26" s="19" t="str">
        <x:v>Apple iPad Gen 10 2025</x:v>
      </x:c>
      <x:c r="D26" s="19" t="str">
        <x:v>apple-ipad-gen-10-2025-025</x:v>
      </x:c>
      <x:c r="E26" s="19" t="str">
        <x:v>Máy tính bảng</x:v>
      </x:c>
      <x:c r="F26" s="19" t="str">
        <x:v>Apple</x:v>
      </x:c>
      <x:c r="G26" s="24" t="n">
        <x:v>6390000</x:v>
      </x:c>
      <x:c r="H26" s="24" t="n">
        <x:v>6390000</x:v>
      </x:c>
      <x:c r="I26" s="26" t="n">
        <x:v>0</x:v>
      </x:c>
      <x:c r="J26" s="28" t="n">
        <x:v>108</x:v>
      </x:c>
      <x:c r="K26" s="30" t="n">
        <x:v>4</x:v>
      </x:c>
      <x:c r="L26" s="28" t="n">
        <x:v>609</x:v>
      </x:c>
      <x:c r="M26" s="28" t="n">
        <x:v>12</x:v>
      </x:c>
      <x:c r="N26" s="19" t="str">
        <x:v>https://placehold.co/600x600?text=TAB+025</x:v>
      </x:c>
      <x:c r="O26" s="19" t="str">
        <x:v>Apple iPad Gen 10 2025 thuộc nhóm máy tính bảng, phù hợp cho nhu cầu học tập, làm việc và giải trí trong website demo bán hàng công nghệ.</x:v>
      </x:c>
      <x:c r="P26" s="19" t="str">
        <x:v>{"screen": "10.9 inch", "storage": "128GB", "wifi": "WiFi"}</x:v>
      </x:c>
      <x:c r="Q26" s="20" t="b">
        <x:v>0</x:v>
      </x:c>
      <x:c r="R26" s="19" t="str">
        <x:v>active</x:v>
      </x:c>
      <x:c r="S26" s="32" t="str">
        <x:v>2026-05-26</x:v>
      </x:c>
      <x:c r="T26" s="19" t="str">
        <x:v>Mock data generated for demo; not real inventory</x:v>
      </x:c>
    </x:row>
    <x:row r="27" ht="36" customHeight="1">
      <x:c r="A27" s="19" t="n">
        <x:v>26</x:v>
      </x:c>
      <x:c r="B27" s="19" t="str">
        <x:v>TCH-TAB-0026</x:v>
      </x:c>
      <x:c r="C27" s="19" t="str">
        <x:v>Samsung Galaxy Tab S9 FE 2025</x:v>
      </x:c>
      <x:c r="D27" s="19" t="str">
        <x:v>samsung-galaxy-tab-s9-fe-2025-026</x:v>
      </x:c>
      <x:c r="E27" s="19" t="str">
        <x:v>Máy tính bảng</x:v>
      </x:c>
      <x:c r="F27" s="19" t="str">
        <x:v>Samsung</x:v>
      </x:c>
      <x:c r="G27" s="24" t="n">
        <x:v>5690000</x:v>
      </x:c>
      <x:c r="H27" s="24" t="n">
        <x:v>5690000</x:v>
      </x:c>
      <x:c r="I27" s="26" t="n">
        <x:v>0</x:v>
      </x:c>
      <x:c r="J27" s="28" t="n">
        <x:v>53</x:v>
      </x:c>
      <x:c r="K27" s="30" t="n">
        <x:v>4.6</x:v>
      </x:c>
      <x:c r="L27" s="28" t="n">
        <x:v>578</x:v>
      </x:c>
      <x:c r="M27" s="28" t="n">
        <x:v>24</x:v>
      </x:c>
      <x:c r="N27" s="19" t="str">
        <x:v>https://placehold.co/600x600?text=TAB+026</x:v>
      </x:c>
      <x:c r="O27" s="19" t="str">
        <x:v>Samsung Galaxy Tab S9 FE 2025 thuộc nhóm máy tính bảng, phù hợp cho nhu cầu học tập, làm việc và giải trí trong website demo bán hàng công nghệ.</x:v>
      </x:c>
      <x:c r="P27" s="19" t="str">
        <x:v>{"screen": "10.9 inch", "storage": "256GB", "wifi": "WiFi + 5G"}</x:v>
      </x:c>
      <x:c r="Q27" s="20" t="b">
        <x:v>0</x:v>
      </x:c>
      <x:c r="R27" s="19" t="str">
        <x:v>active</x:v>
      </x:c>
      <x:c r="S27" s="32" t="str">
        <x:v>2026-03-03</x:v>
      </x:c>
      <x:c r="T27" s="19" t="str">
        <x:v>Mock data generated for demo; not real inventory</x:v>
      </x:c>
    </x:row>
    <x:row r="28" ht="36" customHeight="1">
      <x:c r="A28" s="19" t="n">
        <x:v>27</x:v>
      </x:c>
      <x:c r="B28" s="19" t="str">
        <x:v>TCH-TAB-0027</x:v>
      </x:c>
      <x:c r="C28" s="19" t="str">
        <x:v>Lenovo Tab M11 Plus</x:v>
      </x:c>
      <x:c r="D28" s="19" t="str">
        <x:v>lenovo-tab-m11-plus-027</x:v>
      </x:c>
      <x:c r="E28" s="19" t="str">
        <x:v>Máy tính bảng</x:v>
      </x:c>
      <x:c r="F28" s="19" t="str">
        <x:v>Lenovo</x:v>
      </x:c>
      <x:c r="G28" s="24" t="n">
        <x:v>20290000</x:v>
      </x:c>
      <x:c r="H28" s="24" t="n">
        <x:v>21360000</x:v>
      </x:c>
      <x:c r="I28" s="26" t="n">
        <x:v>5</x:v>
      </x:c>
      <x:c r="J28" s="28" t="n">
        <x:v>85</x:v>
      </x:c>
      <x:c r="K28" s="30" t="n">
        <x:v>4.6</x:v>
      </x:c>
      <x:c r="L28" s="28" t="n">
        <x:v>468</x:v>
      </x:c>
      <x:c r="M28" s="28" t="n">
        <x:v>24</x:v>
      </x:c>
      <x:c r="N28" s="19" t="str">
        <x:v>https://placehold.co/600x600?text=TAB+027</x:v>
      </x:c>
      <x:c r="O28" s="19" t="str">
        <x:v>Lenovo Tab M11 Plus thuộc nhóm máy tính bảng, phù hợp cho nhu cầu học tập, làm việc và giải trí trong website demo bán hàng công nghệ.</x:v>
      </x:c>
      <x:c r="P28" s="19" t="str">
        <x:v>{"screen": "10.9 inch", "storage": "64GB", "wifi": "WiFi + 5G"}</x:v>
      </x:c>
      <x:c r="Q28" s="20" t="b">
        <x:v>0</x:v>
      </x:c>
      <x:c r="R28" s="19" t="str">
        <x:v>active</x:v>
      </x:c>
      <x:c r="S28" s="32" t="str">
        <x:v>2026-05-25</x:v>
      </x:c>
      <x:c r="T28" s="19" t="str">
        <x:v>Mock data generated for demo; not real inventory</x:v>
      </x:c>
    </x:row>
    <x:row r="29" ht="36" customHeight="1">
      <x:c r="A29" s="19" t="n">
        <x:v>28</x:v>
      </x:c>
      <x:c r="B29" s="19" t="str">
        <x:v>TCH-TAB-0028</x:v>
      </x:c>
      <x:c r="C29" s="19" t="str">
        <x:v>Xiaomi Pad 6</x:v>
      </x:c>
      <x:c r="D29" s="19" t="str">
        <x:v>xiaomi-pad-6-028</x:v>
      </x:c>
      <x:c r="E29" s="19" t="str">
        <x:v>Máy tính bảng</x:v>
      </x:c>
      <x:c r="F29" s="19" t="str">
        <x:v>Xiaomi</x:v>
      </x:c>
      <x:c r="G29" s="24" t="n">
        <x:v>6990000</x:v>
      </x:c>
      <x:c r="H29" s="24" t="n">
        <x:v>7520000</x:v>
      </x:c>
      <x:c r="I29" s="26" t="n">
        <x:v>7</x:v>
      </x:c>
      <x:c r="J29" s="28" t="n">
        <x:v>64</x:v>
      </x:c>
      <x:c r="K29" s="30" t="n">
        <x:v>4.1</x:v>
      </x:c>
      <x:c r="L29" s="28" t="n">
        <x:v>357</x:v>
      </x:c>
      <x:c r="M29" s="28" t="n">
        <x:v>12</x:v>
      </x:c>
      <x:c r="N29" s="19" t="str">
        <x:v>https://placehold.co/600x600?text=TAB+028</x:v>
      </x:c>
      <x:c r="O29" s="19" t="str">
        <x:v>Xiaomi Pad 6 thuộc nhóm máy tính bảng, phù hợp cho nhu cầu học tập, làm việc và giải trí trong website demo bán hàng công nghệ.</x:v>
      </x:c>
      <x:c r="P29" s="19" t="str">
        <x:v>{"screen": "11 inch", "storage": "128GB", "wifi": "WiFi"}</x:v>
      </x:c>
      <x:c r="Q29" s="20" t="b">
        <x:v>0</x:v>
      </x:c>
      <x:c r="R29" s="19" t="str">
        <x:v>active</x:v>
      </x:c>
      <x:c r="S29" s="32" t="str">
        <x:v>2026-04-23</x:v>
      </x:c>
      <x:c r="T29" s="19" t="str">
        <x:v>Mock data generated for demo; not real inventory</x:v>
      </x:c>
    </x:row>
    <x:row r="30" ht="36" customHeight="1">
      <x:c r="A30" s="19" t="n">
        <x:v>29</x:v>
      </x:c>
      <x:c r="B30" s="19" t="str">
        <x:v>TCH-TAB-0029</x:v>
      </x:c>
      <x:c r="C30" s="19" t="str">
        <x:v>Huawei MatePad 11.5 SE</x:v>
      </x:c>
      <x:c r="D30" s="19" t="str">
        <x:v>huawei-matepad-11-5-se-029</x:v>
      </x:c>
      <x:c r="E30" s="19" t="str">
        <x:v>Máy tính bảng</x:v>
      </x:c>
      <x:c r="F30" s="19" t="str">
        <x:v>Huawei</x:v>
      </x:c>
      <x:c r="G30" s="24" t="n">
        <x:v>16390000</x:v>
      </x:c>
      <x:c r="H30" s="24" t="n">
        <x:v>16390000</x:v>
      </x:c>
      <x:c r="I30" s="26" t="n">
        <x:v>0</x:v>
      </x:c>
      <x:c r="J30" s="28" t="n">
        <x:v>85</x:v>
      </x:c>
      <x:c r="K30" s="30" t="n">
        <x:v>4.8</x:v>
      </x:c>
      <x:c r="L30" s="28" t="n">
        <x:v>306</x:v>
      </x:c>
      <x:c r="M30" s="28" t="n">
        <x:v>12</x:v>
      </x:c>
      <x:c r="N30" s="19" t="str">
        <x:v>https://placehold.co/600x600?text=TAB+029</x:v>
      </x:c>
      <x:c r="O30" s="19" t="str">
        <x:v>Huawei MatePad 11.5 SE thuộc nhóm máy tính bảng, phù hợp cho nhu cầu học tập, làm việc và giải trí trong website demo bán hàng công nghệ.</x:v>
      </x:c>
      <x:c r="P30" s="19" t="str">
        <x:v>{"screen": "10.9 inch", "storage": "128GB", "wifi": "WiFi"}</x:v>
      </x:c>
      <x:c r="Q30" s="20" t="b">
        <x:v>0</x:v>
      </x:c>
      <x:c r="R30" s="19" t="str">
        <x:v>active</x:v>
      </x:c>
      <x:c r="S30" s="32" t="str">
        <x:v>2026-01-28</x:v>
      </x:c>
      <x:c r="T30" s="19" t="str">
        <x:v>Mock data generated for demo; not real inventory</x:v>
      </x:c>
    </x:row>
    <x:row r="31" ht="36" customHeight="1">
      <x:c r="A31" s="19" t="n">
        <x:v>30</x:v>
      </x:c>
      <x:c r="B31" s="19" t="str">
        <x:v>TCH-TAB-0030</x:v>
      </x:c>
      <x:c r="C31" s="19" t="str">
        <x:v>Apple iPad Gen 10 Lite</x:v>
      </x:c>
      <x:c r="D31" s="19" t="str">
        <x:v>apple-ipad-gen-10-lite-030</x:v>
      </x:c>
      <x:c r="E31" s="19" t="str">
        <x:v>Máy tính bảng</x:v>
      </x:c>
      <x:c r="F31" s="19" t="str">
        <x:v>Apple</x:v>
      </x:c>
      <x:c r="G31" s="24" t="n">
        <x:v>10390000</x:v>
      </x:c>
      <x:c r="H31" s="24" t="n">
        <x:v>11540000</x:v>
      </x:c>
      <x:c r="I31" s="26" t="n">
        <x:v>10</x:v>
      </x:c>
      <x:c r="J31" s="28" t="n">
        <x:v>36</x:v>
      </x:c>
      <x:c r="K31" s="30" t="n">
        <x:v>4.5</x:v>
      </x:c>
      <x:c r="L31" s="28" t="n">
        <x:v>734</x:v>
      </x:c>
      <x:c r="M31" s="28" t="n">
        <x:v>24</x:v>
      </x:c>
      <x:c r="N31" s="19" t="str">
        <x:v>https://placehold.co/600x600?text=TAB+030</x:v>
      </x:c>
      <x:c r="O31" s="19" t="str">
        <x:v>Apple iPad Gen 10 Lite thuộc nhóm máy tính bảng, phù hợp cho nhu cầu học tập, làm việc và giải trí trong website demo bán hàng công nghệ.</x:v>
      </x:c>
      <x:c r="P31" s="19" t="str">
        <x:v>{"screen": "12.4 inch", "storage": "128GB", "wifi": "WiFi + 5G"}</x:v>
      </x:c>
      <x:c r="Q31" s="20" t="b">
        <x:v>0</x:v>
      </x:c>
      <x:c r="R31" s="19" t="str">
        <x:v>active</x:v>
      </x:c>
      <x:c r="S31" s="32" t="str">
        <x:v>2026-03-06</x:v>
      </x:c>
      <x:c r="T31" s="19" t="str">
        <x:v>Mock data generated for demo; not real inventory</x:v>
      </x:c>
    </x:row>
    <x:row r="32" ht="36" customHeight="1">
      <x:c r="A32" s="19" t="n">
        <x:v>31</x:v>
      </x:c>
      <x:c r="B32" s="19" t="str">
        <x:v>TCH-EAR-0031</x:v>
      </x:c>
      <x:c r="C32" s="19" t="str">
        <x:v>Sony WH-CH720N SE</x:v>
      </x:c>
      <x:c r="D32" s="19" t="str">
        <x:v>sony-wh-ch720n-se-031</x:v>
      </x:c>
      <x:c r="E32" s="19" t="str">
        <x:v>Tai nghe</x:v>
      </x:c>
      <x:c r="F32" s="19" t="str">
        <x:v>Sony</x:v>
      </x:c>
      <x:c r="G32" s="24" t="n">
        <x:v>819000</x:v>
      </x:c>
      <x:c r="H32" s="24" t="n">
        <x:v>819000</x:v>
      </x:c>
      <x:c r="I32" s="26" t="n">
        <x:v>0</x:v>
      </x:c>
      <x:c r="J32" s="28" t="n">
        <x:v>81</x:v>
      </x:c>
      <x:c r="K32" s="30" t="n">
        <x:v>4.3</x:v>
      </x:c>
      <x:c r="L32" s="28" t="n">
        <x:v>283</x:v>
      </x:c>
      <x:c r="M32" s="28" t="n">
        <x:v>6</x:v>
      </x:c>
      <x:c r="N32" s="19" t="str">
        <x:v>https://placehold.co/600x600?text=EAR+031</x:v>
      </x:c>
      <x:c r="O32" s="19" t="str">
        <x:v>Sony WH-CH720N SE thuộc nhóm tai nghe, phù hợp cho nhu cầu học tập, làm việc và giải trí trong website demo bán hàng công nghệ.</x:v>
      </x:c>
      <x:c r="P32" s="19" t="str">
        <x:v>{"type": "True Wireless", "noise_canceling": "Không", "battery": "20 giờ"}</x:v>
      </x:c>
      <x:c r="Q32" s="20" t="b">
        <x:v>1</x:v>
      </x:c>
      <x:c r="R32" s="19" t="str">
        <x:v>active</x:v>
      </x:c>
      <x:c r="S32" s="32" t="str">
        <x:v>2026-04-24</x:v>
      </x:c>
      <x:c r="T32" s="19" t="str">
        <x:v>Mock data generated for demo; not real inventory</x:v>
      </x:c>
    </x:row>
    <x:row r="33" ht="36" customHeight="1">
      <x:c r="A33" s="19" t="n">
        <x:v>32</x:v>
      </x:c>
      <x:c r="B33" s="19" t="str">
        <x:v>TCH-EAR-0032</x:v>
      </x:c>
      <x:c r="C33" s="19" t="str">
        <x:v>JBL Tune Flex Max</x:v>
      </x:c>
      <x:c r="D33" s="19" t="str">
        <x:v>jbl-tune-flex-max-032</x:v>
      </x:c>
      <x:c r="E33" s="19" t="str">
        <x:v>Tai nghe</x:v>
      </x:c>
      <x:c r="F33" s="19" t="str">
        <x:v>JBL</x:v>
      </x:c>
      <x:c r="G33" s="24" t="n">
        <x:v>7590000</x:v>
      </x:c>
      <x:c r="H33" s="24" t="n">
        <x:v>8930000</x:v>
      </x:c>
      <x:c r="I33" s="26" t="n">
        <x:v>15</x:v>
      </x:c>
      <x:c r="J33" s="28" t="n">
        <x:v>71</x:v>
      </x:c>
      <x:c r="K33" s="30" t="n">
        <x:v>3.8</x:v>
      </x:c>
      <x:c r="L33" s="28" t="n">
        <x:v>77</x:v>
      </x:c>
      <x:c r="M33" s="28" t="n">
        <x:v>24</x:v>
      </x:c>
      <x:c r="N33" s="19" t="str">
        <x:v>https://placehold.co/600x600?text=EAR+032</x:v>
      </x:c>
      <x:c r="O33" s="19" t="str">
        <x:v>JBL Tune Flex Max thuộc nhóm tai nghe, phù hợp cho nhu cầu học tập, làm việc và giải trí trong website demo bán hàng công nghệ.</x:v>
      </x:c>
      <x:c r="P33" s="19" t="str">
        <x:v>{"type": "In-ear", "noise_canceling": "Có", "battery": "30 giờ"}</x:v>
      </x:c>
      <x:c r="Q33" s="20" t="b">
        <x:v>0</x:v>
      </x:c>
      <x:c r="R33" s="19" t="str">
        <x:v>active</x:v>
      </x:c>
      <x:c r="S33" s="32" t="str">
        <x:v>2026-05-30</x:v>
      </x:c>
      <x:c r="T33" s="19" t="str">
        <x:v>Mock data generated for demo; not real inventory</x:v>
      </x:c>
    </x:row>
    <x:row r="34" ht="36" customHeight="1">
      <x:c r="A34" s="19" t="n">
        <x:v>33</x:v>
      </x:c>
      <x:c r="B34" s="19" t="str">
        <x:v>TCH-EAR-0033</x:v>
      </x:c>
      <x:c r="C34" s="19" t="str">
        <x:v>Samsung Galaxy Buds FE Max</x:v>
      </x:c>
      <x:c r="D34" s="19" t="str">
        <x:v>samsung-galaxy-buds-fe-max-033</x:v>
      </x:c>
      <x:c r="E34" s="19" t="str">
        <x:v>Tai nghe</x:v>
      </x:c>
      <x:c r="F34" s="19" t="str">
        <x:v>Samsung</x:v>
      </x:c>
      <x:c r="G34" s="24" t="n">
        <x:v>1890000</x:v>
      </x:c>
      <x:c r="H34" s="24" t="n">
        <x:v>2220000</x:v>
      </x:c>
      <x:c r="I34" s="26" t="n">
        <x:v>15</x:v>
      </x:c>
      <x:c r="J34" s="28" t="n">
        <x:v>16</x:v>
      </x:c>
      <x:c r="K34" s="30" t="n">
        <x:v>3.9</x:v>
      </x:c>
      <x:c r="L34" s="28" t="n">
        <x:v>373</x:v>
      </x:c>
      <x:c r="M34" s="28" t="n">
        <x:v>6</x:v>
      </x:c>
      <x:c r="N34" s="19" t="str">
        <x:v>https://placehold.co/600x600?text=EAR+033</x:v>
      </x:c>
      <x:c r="O34" s="19" t="str">
        <x:v>Samsung Galaxy Buds FE Max thuộc nhóm tai nghe, phù hợp cho nhu cầu học tập, làm việc và giải trí trong website demo bán hàng công nghệ.</x:v>
      </x:c>
      <x:c r="P34" s="19" t="str">
        <x:v>{"type": "True Wireless", "noise_canceling": "Có", "battery": "40 giờ"}</x:v>
      </x:c>
      <x:c r="Q34" s="20" t="b">
        <x:v>0</x:v>
      </x:c>
      <x:c r="R34" s="19" t="str">
        <x:v>active</x:v>
      </x:c>
      <x:c r="S34" s="32" t="str">
        <x:v>2026-01-27</x:v>
      </x:c>
      <x:c r="T34" s="19" t="str">
        <x:v>Mock data generated for demo; not real inventory</x:v>
      </x:c>
    </x:row>
    <x:row r="35" ht="36" customHeight="1">
      <x:c r="A35" s="19" t="n">
        <x:v>34</x:v>
      </x:c>
      <x:c r="B35" s="19" t="str">
        <x:v>TCH-EAR-0034</x:v>
      </x:c>
      <x:c r="C35" s="19" t="str">
        <x:v>Apple AirPods 4 Plus</x:v>
      </x:c>
      <x:c r="D35" s="19" t="str">
        <x:v>apple-airpods-4-plus-034</x:v>
      </x:c>
      <x:c r="E35" s="19" t="str">
        <x:v>Tai nghe</x:v>
      </x:c>
      <x:c r="F35" s="19" t="str">
        <x:v>Apple</x:v>
      </x:c>
      <x:c r="G35" s="24" t="n">
        <x:v>8290000</x:v>
      </x:c>
      <x:c r="H35" s="24" t="n">
        <x:v>9750000</x:v>
      </x:c>
      <x:c r="I35" s="26" t="n">
        <x:v>15</x:v>
      </x:c>
      <x:c r="J35" s="28" t="n">
        <x:v>79</x:v>
      </x:c>
      <x:c r="K35" s="30" t="n">
        <x:v>4.7</x:v>
      </x:c>
      <x:c r="L35" s="28" t="n">
        <x:v>242</x:v>
      </x:c>
      <x:c r="M35" s="28" t="n">
        <x:v>6</x:v>
      </x:c>
      <x:c r="N35" s="19" t="str">
        <x:v>https://placehold.co/600x600?text=EAR+034</x:v>
      </x:c>
      <x:c r="O35" s="19" t="str">
        <x:v>Apple AirPods 4 Plus thuộc nhóm tai nghe, phù hợp cho nhu cầu học tập, làm việc và giải trí trong website demo bán hàng công nghệ.</x:v>
      </x:c>
      <x:c r="P35" s="19" t="str">
        <x:v>{"type": "True Wireless", "noise_canceling": "Không", "battery": "20 giờ"}</x:v>
      </x:c>
      <x:c r="Q35" s="20" t="b">
        <x:v>0</x:v>
      </x:c>
      <x:c r="R35" s="19" t="str">
        <x:v>active</x:v>
      </x:c>
      <x:c r="S35" s="32" t="str">
        <x:v>2026-02-15</x:v>
      </x:c>
      <x:c r="T35" s="19" t="str">
        <x:v>Mock data generated for demo; not real inventory</x:v>
      </x:c>
    </x:row>
    <x:row r="36" ht="36" customHeight="1">
      <x:c r="A36" s="19" t="n">
        <x:v>35</x:v>
      </x:c>
      <x:c r="B36" s="19" t="str">
        <x:v>TCH-EAR-0035</x:v>
      </x:c>
      <x:c r="C36" s="19" t="str">
        <x:v>Soundcore Liberty 4 NC Lite</x:v>
      </x:c>
      <x:c r="D36" s="19" t="str">
        <x:v>soundcore-liberty-4-nc-lite-035</x:v>
      </x:c>
      <x:c r="E36" s="19" t="str">
        <x:v>Tai nghe</x:v>
      </x:c>
      <x:c r="F36" s="19" t="str">
        <x:v>Soundcore</x:v>
      </x:c>
      <x:c r="G36" s="24" t="n">
        <x:v>3690000</x:v>
      </x:c>
      <x:c r="H36" s="24" t="n">
        <x:v>4340000</x:v>
      </x:c>
      <x:c r="I36" s="26" t="n">
        <x:v>15</x:v>
      </x:c>
      <x:c r="J36" s="28" t="n">
        <x:v>102</x:v>
      </x:c>
      <x:c r="K36" s="30" t="n">
        <x:v>4.6</x:v>
      </x:c>
      <x:c r="L36" s="28" t="n">
        <x:v>752</x:v>
      </x:c>
      <x:c r="M36" s="28" t="n">
        <x:v>6</x:v>
      </x:c>
      <x:c r="N36" s="19" t="str">
        <x:v>https://placehold.co/600x600?text=EAR+035</x:v>
      </x:c>
      <x:c r="O36" s="19" t="str">
        <x:v>Soundcore Liberty 4 NC Lite thuộc nhóm tai nghe, phù hợp cho nhu cầu học tập, làm việc và giải trí trong website demo bán hàng công nghệ.</x:v>
      </x:c>
      <x:c r="P36" s="19" t="str">
        <x:v>{"type": "In-ear", "noise_canceling": "Có", "battery": "30 giờ"}</x:v>
      </x:c>
      <x:c r="Q36" s="20" t="b">
        <x:v>0</x:v>
      </x:c>
      <x:c r="R36" s="19" t="str">
        <x:v>active</x:v>
      </x:c>
      <x:c r="S36" s="32" t="str">
        <x:v>2026-01-10</x:v>
      </x:c>
      <x:c r="T36" s="19" t="str">
        <x:v>Mock data generated for demo; not real inventory</x:v>
      </x:c>
    </x:row>
    <x:row r="37" ht="36" customHeight="1">
      <x:c r="A37" s="19" t="n">
        <x:v>36</x:v>
      </x:c>
      <x:c r="B37" s="19" t="str">
        <x:v>TCH-EAR-0036</x:v>
      </x:c>
      <x:c r="C37" s="19" t="str">
        <x:v>Baseus Bowie MA10 SE</x:v>
      </x:c>
      <x:c r="D37" s="19" t="str">
        <x:v>baseus-bowie-ma10-se-036</x:v>
      </x:c>
      <x:c r="E37" s="19" t="str">
        <x:v>Tai nghe</x:v>
      </x:c>
      <x:c r="F37" s="19" t="str">
        <x:v>Baseus</x:v>
      </x:c>
      <x:c r="G37" s="24" t="n">
        <x:v>5190000</x:v>
      </x:c>
      <x:c r="H37" s="24" t="n">
        <x:v>5580000</x:v>
      </x:c>
      <x:c r="I37" s="26" t="n">
        <x:v>7</x:v>
      </x:c>
      <x:c r="J37" s="28" t="n">
        <x:v>25</x:v>
      </x:c>
      <x:c r="K37" s="30" t="n">
        <x:v>4.8</x:v>
      </x:c>
      <x:c r="L37" s="28" t="n">
        <x:v>471</x:v>
      </x:c>
      <x:c r="M37" s="28" t="n">
        <x:v>12</x:v>
      </x:c>
      <x:c r="N37" s="19" t="str">
        <x:v>https://placehold.co/600x600?text=EAR+036</x:v>
      </x:c>
      <x:c r="O37" s="19" t="str">
        <x:v>Baseus Bowie MA10 SE thuộc nhóm tai nghe, phù hợp cho nhu cầu học tập, làm việc và giải trí trong website demo bán hàng công nghệ.</x:v>
      </x:c>
      <x:c r="P37" s="19" t="str">
        <x:v>{"type": "True Wireless", "noise_canceling": "Có", "battery": "20 giờ"}</x:v>
      </x:c>
      <x:c r="Q37" s="20" t="b">
        <x:v>0</x:v>
      </x:c>
      <x:c r="R37" s="19" t="str">
        <x:v>active</x:v>
      </x:c>
      <x:c r="S37" s="32" t="str">
        <x:v>2026-02-19</x:v>
      </x:c>
      <x:c r="T37" s="19" t="str">
        <x:v>Mock data generated for demo; not real inventory</x:v>
      </x:c>
    </x:row>
    <x:row r="38" ht="36" customHeight="1">
      <x:c r="A38" s="19" t="n">
        <x:v>37</x:v>
      </x:c>
      <x:c r="B38" s="19" t="str">
        <x:v>TCH-EAR-0037</x:v>
      </x:c>
      <x:c r="C38" s="19" t="str">
        <x:v>Xiaomi Redmi Buds 5 Pro</x:v>
      </x:c>
      <x:c r="D38" s="19" t="str">
        <x:v>xiaomi-redmi-buds-5-pro-037</x:v>
      </x:c>
      <x:c r="E38" s="19" t="str">
        <x:v>Tai nghe</x:v>
      </x:c>
      <x:c r="F38" s="19" t="str">
        <x:v>Xiaomi</x:v>
      </x:c>
      <x:c r="G38" s="24" t="n">
        <x:v>3690000</x:v>
      </x:c>
      <x:c r="H38" s="24" t="n">
        <x:v>4100000</x:v>
      </x:c>
      <x:c r="I38" s="26" t="n">
        <x:v>10</x:v>
      </x:c>
      <x:c r="J38" s="28" t="n">
        <x:v>110</x:v>
      </x:c>
      <x:c r="K38" s="30" t="n">
        <x:v>3.9</x:v>
      </x:c>
      <x:c r="L38" s="28" t="n">
        <x:v>791</x:v>
      </x:c>
      <x:c r="M38" s="28" t="n">
        <x:v>12</x:v>
      </x:c>
      <x:c r="N38" s="19" t="str">
        <x:v>https://placehold.co/600x600?text=EAR+037</x:v>
      </x:c>
      <x:c r="O38" s="19" t="str">
        <x:v>Xiaomi Redmi Buds 5 Pro thuộc nhóm tai nghe, phù hợp cho nhu cầu học tập, làm việc và giải trí trong website demo bán hàng công nghệ.</x:v>
      </x:c>
      <x:c r="P38" s="19" t="str">
        <x:v>{"type": "In-ear", "noise_canceling": "Không", "battery": "40 giờ"}</x:v>
      </x:c>
      <x:c r="Q38" s="20" t="b">
        <x:v>0</x:v>
      </x:c>
      <x:c r="R38" s="19" t="str">
        <x:v>active</x:v>
      </x:c>
      <x:c r="S38" s="32" t="str">
        <x:v>2026-05-18</x:v>
      </x:c>
      <x:c r="T38" s="19" t="str">
        <x:v>Mock data generated for demo; not real inventory</x:v>
      </x:c>
    </x:row>
    <x:row r="39" ht="36" customHeight="1">
      <x:c r="A39" s="19" t="n">
        <x:v>38</x:v>
      </x:c>
      <x:c r="B39" s="19" t="str">
        <x:v>TCH-EAR-0038</x:v>
      </x:c>
      <x:c r="C39" s="19" t="str">
        <x:v>Marshall Minor IV Plus</x:v>
      </x:c>
      <x:c r="D39" s="19" t="str">
        <x:v>marshall-minor-iv-plus-038</x:v>
      </x:c>
      <x:c r="E39" s="19" t="str">
        <x:v>Tai nghe</x:v>
      </x:c>
      <x:c r="F39" s="19" t="str">
        <x:v>Marshall</x:v>
      </x:c>
      <x:c r="G39" s="24" t="n">
        <x:v>579000</x:v>
      </x:c>
      <x:c r="H39" s="24" t="n">
        <x:v>579000</x:v>
      </x:c>
      <x:c r="I39" s="26" t="n">
        <x:v>0</x:v>
      </x:c>
      <x:c r="J39" s="28" t="n">
        <x:v>112</x:v>
      </x:c>
      <x:c r="K39" s="30" t="n">
        <x:v>5</x:v>
      </x:c>
      <x:c r="L39" s="28" t="n">
        <x:v>182</x:v>
      </x:c>
      <x:c r="M39" s="28" t="n">
        <x:v>24</x:v>
      </x:c>
      <x:c r="N39" s="19" t="str">
        <x:v>https://placehold.co/600x600?text=EAR+038</x:v>
      </x:c>
      <x:c r="O39" s="19" t="str">
        <x:v>Marshall Minor IV Plus thuộc nhóm tai nghe, phù hợp cho nhu cầu học tập, làm việc và giải trí trong website demo bán hàng công nghệ.</x:v>
      </x:c>
      <x:c r="P39" s="19" t="str">
        <x:v>{"type": "Over-ear", "noise_canceling": "Có", "battery": "20 giờ"}</x:v>
      </x:c>
      <x:c r="Q39" s="20" t="b">
        <x:v>0</x:v>
      </x:c>
      <x:c r="R39" s="19" t="str">
        <x:v>active</x:v>
      </x:c>
      <x:c r="S39" s="32" t="str">
        <x:v>2026-04-22</x:v>
      </x:c>
      <x:c r="T39" s="19" t="str">
        <x:v>Mock data generated for demo; not real inventory</x:v>
      </x:c>
    </x:row>
    <x:row r="40" ht="36" customHeight="1">
      <x:c r="A40" s="19" t="n">
        <x:v>39</x:v>
      </x:c>
      <x:c r="B40" s="19" t="str">
        <x:v>TCH-CHG-0039</x:v>
      </x:c>
      <x:c r="C40" s="19" t="str">
        <x:v>Anker Nano II 65W Plus</x:v>
      </x:c>
      <x:c r="D40" s="19" t="str">
        <x:v>anker-nano-ii-65w-plus-039</x:v>
      </x:c>
      <x:c r="E40" s="19" t="str">
        <x:v>Củ sạc</x:v>
      </x:c>
      <x:c r="F40" s="19" t="str">
        <x:v>Anker</x:v>
      </x:c>
      <x:c r="G40" s="24" t="n">
        <x:v>949000</x:v>
      </x:c>
      <x:c r="H40" s="24" t="n">
        <x:v>1120000</x:v>
      </x:c>
      <x:c r="I40" s="26" t="n">
        <x:v>15</x:v>
      </x:c>
      <x:c r="J40" s="28" t="n">
        <x:v>77</x:v>
      </x:c>
      <x:c r="K40" s="30" t="n">
        <x:v>5</x:v>
      </x:c>
      <x:c r="L40" s="28" t="n">
        <x:v>118</x:v>
      </x:c>
      <x:c r="M40" s="28" t="n">
        <x:v>24</x:v>
      </x:c>
      <x:c r="N40" s="19" t="str">
        <x:v>https://placehold.co/600x600?text=CHG+039</x:v>
      </x:c>
      <x:c r="O40" s="19" t="str">
        <x:v>Anker Nano II 65W Plus thuộc nhóm củ sạc, phù hợp cho nhu cầu học tập, làm việc và giải trí trong website demo bán hàng công nghệ.</x:v>
      </x:c>
      <x:c r="P40" s="19" t="str">
        <x:v>{"power": "25W", "ports": "2 USB-C", "technology": "GaN"}</x:v>
      </x:c>
      <x:c r="Q40" s="20" t="b">
        <x:v>0</x:v>
      </x:c>
      <x:c r="R40" s="19" t="str">
        <x:v>active</x:v>
      </x:c>
      <x:c r="S40" s="32" t="str">
        <x:v>2026-04-22</x:v>
      </x:c>
      <x:c r="T40" s="19" t="str">
        <x:v>Mock data generated for demo; not real inventory</x:v>
      </x:c>
    </x:row>
    <x:row r="41" ht="36" customHeight="1">
      <x:c r="A41" s="19" t="n">
        <x:v>40</x:v>
      </x:c>
      <x:c r="B41" s="19" t="str">
        <x:v>TCH-CHG-0040</x:v>
      </x:c>
      <x:c r="C41" s="19" t="str">
        <x:v>Baseus GaN5 Pro 65W</x:v>
      </x:c>
      <x:c r="D41" s="19" t="str">
        <x:v>baseus-gan5-pro-65w-040</x:v>
      </x:c>
      <x:c r="E41" s="19" t="str">
        <x:v>Củ sạc</x:v>
      </x:c>
      <x:c r="F41" s="19" t="str">
        <x:v>Baseus</x:v>
      </x:c>
      <x:c r="G41" s="24" t="n">
        <x:v>1490000</x:v>
      </x:c>
      <x:c r="H41" s="24" t="n">
        <x:v>1600000</x:v>
      </x:c>
      <x:c r="I41" s="26" t="n">
        <x:v>7</x:v>
      </x:c>
      <x:c r="J41" s="28" t="n">
        <x:v>46</x:v>
      </x:c>
      <x:c r="K41" s="30" t="n">
        <x:v>4.3</x:v>
      </x:c>
      <x:c r="L41" s="28" t="n">
        <x:v>680</x:v>
      </x:c>
      <x:c r="M41" s="28" t="n">
        <x:v>18</x:v>
      </x:c>
      <x:c r="N41" s="19" t="str">
        <x:v>https://placehold.co/600x600?text=CHG+040</x:v>
      </x:c>
      <x:c r="O41" s="19" t="str">
        <x:v>Baseus GaN5 Pro 65W thuộc nhóm củ sạc, phù hợp cho nhu cầu học tập, làm việc và giải trí trong website demo bán hàng công nghệ.</x:v>
      </x:c>
      <x:c r="P41" s="19" t="str">
        <x:v>{"power": "100W", "ports": "1 USB-C", "technology": "QC 3.0"}</x:v>
      </x:c>
      <x:c r="Q41" s="20" t="b">
        <x:v>0</x:v>
      </x:c>
      <x:c r="R41" s="19" t="str">
        <x:v>active</x:v>
      </x:c>
      <x:c r="S41" s="32" t="str">
        <x:v>2026-03-18</x:v>
      </x:c>
      <x:c r="T41" s="19" t="str">
        <x:v>Mock data generated for demo; not real inventory</x:v>
      </x:c>
    </x:row>
    <x:row r="42" ht="36" customHeight="1">
      <x:c r="A42" s="19" t="n">
        <x:v>41</x:v>
      </x:c>
      <x:c r="B42" s="19" t="str">
        <x:v>TCH-CHG-0041</x:v>
      </x:c>
      <x:c r="C42" s="19" t="str">
        <x:v>Ugreen Nexode 45W Max</x:v>
      </x:c>
      <x:c r="D42" s="19" t="str">
        <x:v>ugreen-nexode-45w-max-041</x:v>
      </x:c>
      <x:c r="E42" s="19" t="str">
        <x:v>Củ sạc</x:v>
      </x:c>
      <x:c r="F42" s="19" t="str">
        <x:v>Ugreen</x:v>
      </x:c>
      <x:c r="G42" s="24" t="n">
        <x:v>939000</x:v>
      </x:c>
      <x:c r="H42" s="24" t="n">
        <x:v>1100000</x:v>
      </x:c>
      <x:c r="I42" s="26" t="n">
        <x:v>15</x:v>
      </x:c>
      <x:c r="J42" s="28" t="n">
        <x:v>41</x:v>
      </x:c>
      <x:c r="K42" s="30" t="n">
        <x:v>4.3</x:v>
      </x:c>
      <x:c r="L42" s="28" t="n">
        <x:v>302</x:v>
      </x:c>
      <x:c r="M42" s="28" t="n">
        <x:v>12</x:v>
      </x:c>
      <x:c r="N42" s="19" t="str">
        <x:v>https://placehold.co/600x600?text=CHG+041</x:v>
      </x:c>
      <x:c r="O42" s="19" t="str">
        <x:v>Ugreen Nexode 45W Max thuộc nhóm củ sạc, phù hợp cho nhu cầu học tập, làm việc và giải trí trong website demo bán hàng công nghệ.</x:v>
      </x:c>
      <x:c r="P42" s="19" t="str">
        <x:v>{"power": "100W", "ports": "2 USB-C", "technology": "QC 3.0"}</x:v>
      </x:c>
      <x:c r="Q42" s="20" t="b">
        <x:v>0</x:v>
      </x:c>
      <x:c r="R42" s="19" t="str">
        <x:v>active</x:v>
      </x:c>
      <x:c r="S42" s="32" t="str">
        <x:v>2026-02-14</x:v>
      </x:c>
      <x:c r="T42" s="19" t="str">
        <x:v>Mock data generated for demo; not real inventory</x:v>
      </x:c>
    </x:row>
    <x:row r="43" ht="36" customHeight="1">
      <x:c r="A43" s="19" t="n">
        <x:v>42</x:v>
      </x:c>
      <x:c r="B43" s="19" t="str">
        <x:v>TCH-CHG-0042</x:v>
      </x:c>
      <x:c r="C43" s="19" t="str">
        <x:v>Samsung Super Fast 25W Max</x:v>
      </x:c>
      <x:c r="D43" s="19" t="str">
        <x:v>samsung-super-fast-25w-max-042</x:v>
      </x:c>
      <x:c r="E43" s="19" t="str">
        <x:v>Củ sạc</x:v>
      </x:c>
      <x:c r="F43" s="19" t="str">
        <x:v>Samsung</x:v>
      </x:c>
      <x:c r="G43" s="24" t="n">
        <x:v>1590000</x:v>
      </x:c>
      <x:c r="H43" s="24" t="n">
        <x:v>1770000</x:v>
      </x:c>
      <x:c r="I43" s="26" t="n">
        <x:v>10</x:v>
      </x:c>
      <x:c r="J43" s="28" t="n">
        <x:v>51</x:v>
      </x:c>
      <x:c r="K43" s="30" t="n">
        <x:v>4.5</x:v>
      </x:c>
      <x:c r="L43" s="28" t="n">
        <x:v>0</x:v>
      </x:c>
      <x:c r="M43" s="28" t="n">
        <x:v>18</x:v>
      </x:c>
      <x:c r="N43" s="19" t="str">
        <x:v>https://placehold.co/600x600?text=CHG+042</x:v>
      </x:c>
      <x:c r="O43" s="19" t="str">
        <x:v>Samsung Super Fast 25W Max thuộc nhóm củ sạc, phù hợp cho nhu cầu học tập, làm việc và giải trí trong website demo bán hàng công nghệ.</x:v>
      </x:c>
      <x:c r="P43" s="19" t="str">
        <x:v>{"power": "45W", "ports": "2C + 1A", "technology": "QC 3.0"}</x:v>
      </x:c>
      <x:c r="Q43" s="20" t="b">
        <x:v>0</x:v>
      </x:c>
      <x:c r="R43" s="19" t="str">
        <x:v>active</x:v>
      </x:c>
      <x:c r="S43" s="32" t="str">
        <x:v>2026-03-24</x:v>
      </x:c>
      <x:c r="T43" s="19" t="str">
        <x:v>Mock data generated for demo; not real inventory</x:v>
      </x:c>
    </x:row>
    <x:row r="44" ht="36" customHeight="1">
      <x:c r="A44" s="19" t="n">
        <x:v>43</x:v>
      </x:c>
      <x:c r="B44" s="19" t="str">
        <x:v>TCH-CHG-0043</x:v>
      </x:c>
      <x:c r="C44" s="19" t="str">
        <x:v>Apple USB-C 20W Pro</x:v>
      </x:c>
      <x:c r="D44" s="19" t="str">
        <x:v>apple-usb-c-20w-pro-043</x:v>
      </x:c>
      <x:c r="E44" s="19" t="str">
        <x:v>Củ sạc</x:v>
      </x:c>
      <x:c r="F44" s="19" t="str">
        <x:v>Apple</x:v>
      </x:c>
      <x:c r="G44" s="24" t="n">
        <x:v>1290000</x:v>
      </x:c>
      <x:c r="H44" s="24" t="n">
        <x:v>1610000</x:v>
      </x:c>
      <x:c r="I44" s="26" t="n">
        <x:v>20</x:v>
      </x:c>
      <x:c r="J44" s="28" t="n">
        <x:v>86</x:v>
      </x:c>
      <x:c r="K44" s="30" t="n">
        <x:v>4.1</x:v>
      </x:c>
      <x:c r="L44" s="28" t="n">
        <x:v>484</x:v>
      </x:c>
      <x:c r="M44" s="28" t="n">
        <x:v>12</x:v>
      </x:c>
      <x:c r="N44" s="19" t="str">
        <x:v>https://placehold.co/600x600?text=CHG+043</x:v>
      </x:c>
      <x:c r="O44" s="19" t="str">
        <x:v>Apple USB-C 20W Pro thuộc nhóm củ sạc, phù hợp cho nhu cầu học tập, làm việc và giải trí trong website demo bán hàng công nghệ.</x:v>
      </x:c>
      <x:c r="P44" s="19" t="str">
        <x:v>{"power": "33W", "ports": "2C + 1A", "technology": "QC 3.0"}</x:v>
      </x:c>
      <x:c r="Q44" s="20" t="b">
        <x:v>0</x:v>
      </x:c>
      <x:c r="R44" s="19" t="str">
        <x:v>active</x:v>
      </x:c>
      <x:c r="S44" s="32" t="str">
        <x:v>2026-03-27</x:v>
      </x:c>
      <x:c r="T44" s="19" t="str">
        <x:v>Mock data generated for demo; not real inventory</x:v>
      </x:c>
    </x:row>
    <x:row r="45" ht="36" customHeight="1">
      <x:c r="A45" s="19" t="n">
        <x:v>44</x:v>
      </x:c>
      <x:c r="B45" s="19" t="str">
        <x:v>TCH-CHG-0044</x:v>
      </x:c>
      <x:c r="C45" s="19" t="str">
        <x:v>Xiaomi GaN 33W</x:v>
      </x:c>
      <x:c r="D45" s="19" t="str">
        <x:v>xiaomi-gan-33w-044</x:v>
      </x:c>
      <x:c r="E45" s="19" t="str">
        <x:v>Củ sạc</x:v>
      </x:c>
      <x:c r="F45" s="19" t="str">
        <x:v>Xiaomi</x:v>
      </x:c>
      <x:c r="G45" s="24" t="n">
        <x:v>749000</x:v>
      </x:c>
      <x:c r="H45" s="24" t="n">
        <x:v>830000</x:v>
      </x:c>
      <x:c r="I45" s="26" t="n">
        <x:v>10</x:v>
      </x:c>
      <x:c r="J45" s="28" t="n">
        <x:v>28</x:v>
      </x:c>
      <x:c r="K45" s="30" t="n">
        <x:v>4.8</x:v>
      </x:c>
      <x:c r="L45" s="28" t="n">
        <x:v>150</x:v>
      </x:c>
      <x:c r="M45" s="28" t="n">
        <x:v>6</x:v>
      </x:c>
      <x:c r="N45" s="19" t="str">
        <x:v>https://placehold.co/600x600?text=CHG+044</x:v>
      </x:c>
      <x:c r="O45" s="19" t="str">
        <x:v>Xiaomi GaN 33W thuộc nhóm củ sạc, phù hợp cho nhu cầu học tập, làm việc và giải trí trong website demo bán hàng công nghệ.</x:v>
      </x:c>
      <x:c r="P45" s="19" t="str">
        <x:v>{"power": "45W", "ports": "2C + 1A", "technology": "GaN"}</x:v>
      </x:c>
      <x:c r="Q45" s="20" t="b">
        <x:v>1</x:v>
      </x:c>
      <x:c r="R45" s="19" t="str">
        <x:v>active</x:v>
      </x:c>
      <x:c r="S45" s="32" t="str">
        <x:v>2026-04-27</x:v>
      </x:c>
      <x:c r="T45" s="19" t="str">
        <x:v>Mock data generated for demo; not real inventory</x:v>
      </x:c>
    </x:row>
    <x:row r="46" ht="36" customHeight="1">
      <x:c r="A46" s="19" t="n">
        <x:v>45</x:v>
      </x:c>
      <x:c r="B46" s="19" t="str">
        <x:v>TCH-CHG-0045</x:v>
      </x:c>
      <x:c r="C46" s="19" t="str">
        <x:v>Aukey Omnia 100W Pro</x:v>
      </x:c>
      <x:c r="D46" s="19" t="str">
        <x:v>aukey-omnia-100w-pro-045</x:v>
      </x:c>
      <x:c r="E46" s="19" t="str">
        <x:v>Củ sạc</x:v>
      </x:c>
      <x:c r="F46" s="19" t="str">
        <x:v>Aukey</x:v>
      </x:c>
      <x:c r="G46" s="24" t="n">
        <x:v>1790000</x:v>
      </x:c>
      <x:c r="H46" s="24" t="n">
        <x:v>1920000</x:v>
      </x:c>
      <x:c r="I46" s="26" t="n">
        <x:v>7</x:v>
      </x:c>
      <x:c r="J46" s="28" t="n">
        <x:v>91</x:v>
      </x:c>
      <x:c r="K46" s="30" t="n">
        <x:v>4.6</x:v>
      </x:c>
      <x:c r="L46" s="28" t="n">
        <x:v>506</x:v>
      </x:c>
      <x:c r="M46" s="28" t="n">
        <x:v>24</x:v>
      </x:c>
      <x:c r="N46" s="19" t="str">
        <x:v>https://placehold.co/600x600?text=CHG+045</x:v>
      </x:c>
      <x:c r="O46" s="19" t="str">
        <x:v>Aukey Omnia 100W Pro thuộc nhóm củ sạc, phù hợp cho nhu cầu học tập, làm việc và giải trí trong website demo bán hàng công nghệ.</x:v>
      </x:c>
      <x:c r="P46" s="19" t="str">
        <x:v>{"power": "100W", "ports": "2C + 1A", "technology": "GaN"}</x:v>
      </x:c>
      <x:c r="Q46" s="20" t="b">
        <x:v>0</x:v>
      </x:c>
      <x:c r="R46" s="19" t="str">
        <x:v>active</x:v>
      </x:c>
      <x:c r="S46" s="32" t="str">
        <x:v>2026-01-28</x:v>
      </x:c>
      <x:c r="T46" s="19" t="str">
        <x:v>Mock data generated for demo; not real inventory</x:v>
      </x:c>
    </x:row>
    <x:row r="47" ht="36" customHeight="1">
      <x:c r="A47" s="19" t="n">
        <x:v>46</x:v>
      </x:c>
      <x:c r="B47" s="19" t="str">
        <x:v>TCH-CHG-0046</x:v>
      </x:c>
      <x:c r="C47" s="19" t="str">
        <x:v>Anker Nano II 65W SE</x:v>
      </x:c>
      <x:c r="D47" s="19" t="str">
        <x:v>anker-nano-ii-65w-se-046</x:v>
      </x:c>
      <x:c r="E47" s="19" t="str">
        <x:v>Củ sạc</x:v>
      </x:c>
      <x:c r="F47" s="19" t="str">
        <x:v>Anker</x:v>
      </x:c>
      <x:c r="G47" s="24" t="n">
        <x:v>1290000</x:v>
      </x:c>
      <x:c r="H47" s="24" t="n">
        <x:v>1390000</x:v>
      </x:c>
      <x:c r="I47" s="26" t="n">
        <x:v>7</x:v>
      </x:c>
      <x:c r="J47" s="28" t="n">
        <x:v>22</x:v>
      </x:c>
      <x:c r="K47" s="30" t="n">
        <x:v>4.8</x:v>
      </x:c>
      <x:c r="L47" s="28" t="n">
        <x:v>712</x:v>
      </x:c>
      <x:c r="M47" s="28" t="n">
        <x:v>24</x:v>
      </x:c>
      <x:c r="N47" s="19" t="str">
        <x:v>https://placehold.co/600x600?text=CHG+046</x:v>
      </x:c>
      <x:c r="O47" s="19" t="str">
        <x:v>Anker Nano II 65W SE thuộc nhóm củ sạc, phù hợp cho nhu cầu học tập, làm việc và giải trí trong website demo bán hàng công nghệ.</x:v>
      </x:c>
      <x:c r="P47" s="19" t="str">
        <x:v>{"power": "25W", "ports": "1 USB-C", "technology": "PD"}</x:v>
      </x:c>
      <x:c r="Q47" s="20" t="b">
        <x:v>1</x:v>
      </x:c>
      <x:c r="R47" s="19" t="str">
        <x:v>active</x:v>
      </x:c>
      <x:c r="S47" s="32" t="str">
        <x:v>2026-02-04</x:v>
      </x:c>
      <x:c r="T47" s="19" t="str">
        <x:v>Mock data generated for demo; not real inventory</x:v>
      </x:c>
    </x:row>
    <x:row r="48" ht="36" customHeight="1">
      <x:c r="A48" s="19" t="n">
        <x:v>47</x:v>
      </x:c>
      <x:c r="B48" s="19" t="str">
        <x:v>TCH-CAB-0047</x:v>
      </x:c>
      <x:c r="C48" s="19" t="str">
        <x:v>Anker USB-C to C 100W SE</x:v>
      </x:c>
      <x:c r="D48" s="19" t="str">
        <x:v>anker-usb-c-to-c-100w-se-047</x:v>
      </x:c>
      <x:c r="E48" s="19" t="str">
        <x:v>Cáp sạc</x:v>
      </x:c>
      <x:c r="F48" s="19" t="str">
        <x:v>Anker</x:v>
      </x:c>
      <x:c r="G48" s="24" t="n">
        <x:v>659000</x:v>
      </x:c>
      <x:c r="H48" s="24" t="n">
        <x:v>750000</x:v>
      </x:c>
      <x:c r="I48" s="26" t="n">
        <x:v>12</x:v>
      </x:c>
      <x:c r="J48" s="28" t="n">
        <x:v>96</x:v>
      </x:c>
      <x:c r="K48" s="30" t="n">
        <x:v>4.9</x:v>
      </x:c>
      <x:c r="L48" s="28" t="n">
        <x:v>627</x:v>
      </x:c>
      <x:c r="M48" s="28" t="n">
        <x:v>24</x:v>
      </x:c>
      <x:c r="N48" s="19" t="str">
        <x:v>https://placehold.co/600x600?text=CAB+047</x:v>
      </x:c>
      <x:c r="O48" s="19" t="str">
        <x:v>Anker USB-C to C 100W SE thuộc nhóm cáp sạc, phù hợp cho nhu cầu học tập, làm việc và giải trí trong website demo bán hàng công nghệ.</x:v>
      </x:c>
      <x:c r="P48" s="19" t="str">
        <x:v>{"length": "2m", "connector": "USB-C to Lightning", "power": "60W"}</x:v>
      </x:c>
      <x:c r="Q48" s="20" t="b">
        <x:v>0</x:v>
      </x:c>
      <x:c r="R48" s="19" t="str">
        <x:v>active</x:v>
      </x:c>
      <x:c r="S48" s="32" t="str">
        <x:v>2026-05-02</x:v>
      </x:c>
      <x:c r="T48" s="19" t="str">
        <x:v>Mock data generated for demo; not real inventory</x:v>
      </x:c>
    </x:row>
    <x:row r="49" ht="36" customHeight="1">
      <x:c r="A49" s="19" t="n">
        <x:v>48</x:v>
      </x:c>
      <x:c r="B49" s="19" t="str">
        <x:v>TCH-CAB-0048</x:v>
      </x:c>
      <x:c r="C49" s="19" t="str">
        <x:v>Baseus Type-C 2m Pro</x:v>
      </x:c>
      <x:c r="D49" s="19" t="str">
        <x:v>baseus-type-c-2m-pro-048</x:v>
      </x:c>
      <x:c r="E49" s="19" t="str">
        <x:v>Cáp sạc</x:v>
      </x:c>
      <x:c r="F49" s="19" t="str">
        <x:v>Baseus</x:v>
      </x:c>
      <x:c r="G49" s="24" t="n">
        <x:v>399000</x:v>
      </x:c>
      <x:c r="H49" s="24" t="n">
        <x:v>430000</x:v>
      </x:c>
      <x:c r="I49" s="26" t="n">
        <x:v>7</x:v>
      </x:c>
      <x:c r="J49" s="28" t="n">
        <x:v>107</x:v>
      </x:c>
      <x:c r="K49" s="30" t="n">
        <x:v>4.6</x:v>
      </x:c>
      <x:c r="L49" s="28" t="n">
        <x:v>784</x:v>
      </x:c>
      <x:c r="M49" s="28" t="n">
        <x:v>24</x:v>
      </x:c>
      <x:c r="N49" s="19" t="str">
        <x:v>https://placehold.co/600x600?text=CAB+048</x:v>
      </x:c>
      <x:c r="O49" s="19" t="str">
        <x:v>Baseus Type-C 2m Pro thuộc nhóm cáp sạc, phù hợp cho nhu cầu học tập, làm việc và giải trí trong website demo bán hàng công nghệ.</x:v>
      </x:c>
      <x:c r="P49" s="19" t="str">
        <x:v>{"length": "1.5m", "connector": "USB-C to Lightning", "power": "60W"}</x:v>
      </x:c>
      <x:c r="Q49" s="20" t="b">
        <x:v>0</x:v>
      </x:c>
      <x:c r="R49" s="19" t="str">
        <x:v>active</x:v>
      </x:c>
      <x:c r="S49" s="32" t="str">
        <x:v>2026-03-15</x:v>
      </x:c>
      <x:c r="T49" s="19" t="str">
        <x:v>Mock data generated for demo; not real inventory</x:v>
      </x:c>
    </x:row>
    <x:row r="50" ht="36" customHeight="1">
      <x:c r="A50" s="19" t="n">
        <x:v>49</x:v>
      </x:c>
      <x:c r="B50" s="19" t="str">
        <x:v>TCH-CAB-0049</x:v>
      </x:c>
      <x:c r="C50" s="19" t="str">
        <x:v>Ugreen Lightning 1m 2025</x:v>
      </x:c>
      <x:c r="D50" s="19" t="str">
        <x:v>ugreen-lightning-1m-2025-049</x:v>
      </x:c>
      <x:c r="E50" s="19" t="str">
        <x:v>Cáp sạc</x:v>
      </x:c>
      <x:c r="F50" s="19" t="str">
        <x:v>Ugreen</x:v>
      </x:c>
      <x:c r="G50" s="24" t="n">
        <x:v>409000</x:v>
      </x:c>
      <x:c r="H50" s="24" t="n">
        <x:v>460000</x:v>
      </x:c>
      <x:c r="I50" s="26" t="n">
        <x:v>12</x:v>
      </x:c>
      <x:c r="J50" s="28" t="n">
        <x:v>40</x:v>
      </x:c>
      <x:c r="K50" s="30" t="n">
        <x:v>4.9</x:v>
      </x:c>
      <x:c r="L50" s="28" t="n">
        <x:v>82</x:v>
      </x:c>
      <x:c r="M50" s="28" t="n">
        <x:v>6</x:v>
      </x:c>
      <x:c r="N50" s="19" t="str">
        <x:v>https://placehold.co/600x600?text=CAB+049</x:v>
      </x:c>
      <x:c r="O50" s="19" t="str">
        <x:v>Ugreen Lightning 1m 2025 thuộc nhóm cáp sạc, phù hợp cho nhu cầu học tập, làm việc và giải trí trong website demo bán hàng công nghệ.</x:v>
      </x:c>
      <x:c r="P50" s="19" t="str">
        <x:v>{"length": "1.5m", "connector": "USB-A to C", "power": "60W"}</x:v>
      </x:c>
      <x:c r="Q50" s="20" t="b">
        <x:v>1</x:v>
      </x:c>
      <x:c r="R50" s="19" t="str">
        <x:v>active</x:v>
      </x:c>
      <x:c r="S50" s="32" t="str">
        <x:v>2026-02-24</x:v>
      </x:c>
      <x:c r="T50" s="19" t="str">
        <x:v>Mock data generated for demo; not real inventory</x:v>
      </x:c>
    </x:row>
    <x:row r="51" ht="36" customHeight="1">
      <x:c r="A51" s="19" t="n">
        <x:v>50</x:v>
      </x:c>
      <x:c r="B51" s="19" t="str">
        <x:v>TCH-CAB-0050</x:v>
      </x:c>
      <x:c r="C51" s="19" t="str">
        <x:v>Apple USB-C to Lightning</x:v>
      </x:c>
      <x:c r="D51" s="19" t="str">
        <x:v>apple-usb-c-to-lightning-050</x:v>
      </x:c>
      <x:c r="E51" s="19" t="str">
        <x:v>Cáp sạc</x:v>
      </x:c>
      <x:c r="F51" s="19" t="str">
        <x:v>Apple</x:v>
      </x:c>
      <x:c r="G51" s="24" t="n">
        <x:v>599000</x:v>
      </x:c>
      <x:c r="H51" s="24" t="n">
        <x:v>700000</x:v>
      </x:c>
      <x:c r="I51" s="26" t="n">
        <x:v>15</x:v>
      </x:c>
      <x:c r="J51" s="28" t="n">
        <x:v>42</x:v>
      </x:c>
      <x:c r="K51" s="30" t="n">
        <x:v>4.5</x:v>
      </x:c>
      <x:c r="L51" s="28" t="n">
        <x:v>425</x:v>
      </x:c>
      <x:c r="M51" s="28" t="n">
        <x:v>3</x:v>
      </x:c>
      <x:c r="N51" s="19" t="str">
        <x:v>https://placehold.co/600x600?text=CAB+050</x:v>
      </x:c>
      <x:c r="O51" s="19" t="str">
        <x:v>Apple USB-C to Lightning thuộc nhóm cáp sạc, phù hợp cho nhu cầu học tập, làm việc và giải trí trong website demo bán hàng công nghệ.</x:v>
      </x:c>
      <x:c r="P51" s="19" t="str">
        <x:v>{"length": "1.5m", "connector": "USB-C to Lightning", "power": "240W"}</x:v>
      </x:c>
      <x:c r="Q51" s="20" t="b">
        <x:v>0</x:v>
      </x:c>
      <x:c r="R51" s="19" t="str">
        <x:v>active</x:v>
      </x:c>
      <x:c r="S51" s="32" t="str">
        <x:v>2026-01-06</x:v>
      </x:c>
      <x:c r="T51" s="19" t="str">
        <x:v>Mock data generated for demo; not real inventory</x:v>
      </x:c>
    </x:row>
    <x:row r="52" ht="36" customHeight="1">
      <x:c r="A52" s="19" t="n">
        <x:v>51</x:v>
      </x:c>
      <x:c r="B52" s="19" t="str">
        <x:v>TCH-CAB-0051</x:v>
      </x:c>
      <x:c r="C52" s="19" t="str">
        <x:v>Samsung Braided Cable 60W SE</x:v>
      </x:c>
      <x:c r="D52" s="19" t="str">
        <x:v>samsung-braided-cable-60w-se-051</x:v>
      </x:c>
      <x:c r="E52" s="19" t="str">
        <x:v>Cáp sạc</x:v>
      </x:c>
      <x:c r="F52" s="19" t="str">
        <x:v>Samsung</x:v>
      </x:c>
      <x:c r="G52" s="24" t="n">
        <x:v>799000</x:v>
      </x:c>
      <x:c r="H52" s="24" t="n">
        <x:v>940000</x:v>
      </x:c>
      <x:c r="I52" s="26" t="n">
        <x:v>15</x:v>
      </x:c>
      <x:c r="J52" s="28" t="n">
        <x:v>61</x:v>
      </x:c>
      <x:c r="K52" s="30" t="n">
        <x:v>3.8</x:v>
      </x:c>
      <x:c r="L52" s="28" t="n">
        <x:v>360</x:v>
      </x:c>
      <x:c r="M52" s="28" t="n">
        <x:v>12</x:v>
      </x:c>
      <x:c r="N52" s="19" t="str">
        <x:v>https://placehold.co/600x600?text=CAB+051</x:v>
      </x:c>
      <x:c r="O52" s="19" t="str">
        <x:v>Samsung Braided Cable 60W SE thuộc nhóm cáp sạc, phù hợp cho nhu cầu học tập, làm việc và giải trí trong website demo bán hàng công nghệ.</x:v>
      </x:c>
      <x:c r="P52" s="19" t="str">
        <x:v>{"length": "1.5m", "connector": "USB-A to C", "power": "240W"}</x:v>
      </x:c>
      <x:c r="Q52" s="20" t="b">
        <x:v>0</x:v>
      </x:c>
      <x:c r="R52" s="19" t="str">
        <x:v>active</x:v>
      </x:c>
      <x:c r="S52" s="32" t="str">
        <x:v>2026-05-20</x:v>
      </x:c>
      <x:c r="T52" s="19" t="str">
        <x:v>Mock data generated for demo; not real inventory</x:v>
      </x:c>
    </x:row>
    <x:row r="53" ht="36" customHeight="1">
      <x:c r="A53" s="19" t="n">
        <x:v>52</x:v>
      </x:c>
      <x:c r="B53" s="19" t="str">
        <x:v>TCH-CAB-0052</x:v>
      </x:c>
      <x:c r="C53" s="19" t="str">
        <x:v>Belkin BoostCharge Cable SE</x:v>
      </x:c>
      <x:c r="D53" s="19" t="str">
        <x:v>belkin-boostcharge-cable-se-052</x:v>
      </x:c>
      <x:c r="E53" s="19" t="str">
        <x:v>Cáp sạc</x:v>
      </x:c>
      <x:c r="F53" s="19" t="str">
        <x:v>Belkin</x:v>
      </x:c>
      <x:c r="G53" s="24" t="n">
        <x:v>349000</x:v>
      </x:c>
      <x:c r="H53" s="24" t="n">
        <x:v>440000</x:v>
      </x:c>
      <x:c r="I53" s="26" t="n">
        <x:v>20</x:v>
      </x:c>
      <x:c r="J53" s="28" t="n">
        <x:v>28</x:v>
      </x:c>
      <x:c r="K53" s="30" t="n">
        <x:v>4.1</x:v>
      </x:c>
      <x:c r="L53" s="28" t="n">
        <x:v>497</x:v>
      </x:c>
      <x:c r="M53" s="28" t="n">
        <x:v>3</x:v>
      </x:c>
      <x:c r="N53" s="19" t="str">
        <x:v>https://placehold.co/600x600?text=CAB+052</x:v>
      </x:c>
      <x:c r="O53" s="19" t="str">
        <x:v>Belkin BoostCharge Cable SE thuộc nhóm cáp sạc, phù hợp cho nhu cầu học tập, làm việc và giải trí trong website demo bán hàng công nghệ.</x:v>
      </x:c>
      <x:c r="P53" s="19" t="str">
        <x:v>{"length": "2m", "connector": "USB-A to C", "power": "100W"}</x:v>
      </x:c>
      <x:c r="Q53" s="20" t="b">
        <x:v>0</x:v>
      </x:c>
      <x:c r="R53" s="19" t="str">
        <x:v>active</x:v>
      </x:c>
      <x:c r="S53" s="32" t="str">
        <x:v>2026-02-12</x:v>
      </x:c>
      <x:c r="T53" s="19" t="str">
        <x:v>Mock data generated for demo; not real inventory</x:v>
      </x:c>
    </x:row>
    <x:row r="54" ht="36" customHeight="1">
      <x:c r="A54" s="19" t="n">
        <x:v>53</x:v>
      </x:c>
      <x:c r="B54" s="19" t="str">
        <x:v>TCH-PWR-0053</x:v>
      </x:c>
      <x:c r="C54" s="19" t="str">
        <x:v>Anker PowerCore 10000 SE</x:v>
      </x:c>
      <x:c r="D54" s="19" t="str">
        <x:v>anker-powercore-10000-se-053</x:v>
      </x:c>
      <x:c r="E54" s="19" t="str">
        <x:v>Pin sạc dự phòng</x:v>
      </x:c>
      <x:c r="F54" s="19" t="str">
        <x:v>Anker</x:v>
      </x:c>
      <x:c r="G54" s="24" t="n">
        <x:v>1490000</x:v>
      </x:c>
      <x:c r="H54" s="24" t="n">
        <x:v>1570000</x:v>
      </x:c>
      <x:c r="I54" s="26" t="n">
        <x:v>5</x:v>
      </x:c>
      <x:c r="J54" s="28" t="n">
        <x:v>79</x:v>
      </x:c>
      <x:c r="K54" s="30" t="n">
        <x:v>4.4</x:v>
      </x:c>
      <x:c r="L54" s="28" t="n">
        <x:v>403</x:v>
      </x:c>
      <x:c r="M54" s="28" t="n">
        <x:v>6</x:v>
      </x:c>
      <x:c r="N54" s="19" t="str">
        <x:v>https://placehold.co/600x600?text=PWR+053</x:v>
      </x:c>
      <x:c r="O54" s="19" t="str">
        <x:v>Anker PowerCore 10000 SE thuộc nhóm pin sạc dự phòng, phù hợp cho nhu cầu học tập, làm việc và giải trí trong website demo bán hàng công nghệ.</x:v>
      </x:c>
      <x:c r="P54" s="19" t="str">
        <x:v>{"capacity": "20000mAh", "fast_charge": "22.5W", "ports": "3 cổng"}</x:v>
      </x:c>
      <x:c r="Q54" s="20" t="b">
        <x:v>1</x:v>
      </x:c>
      <x:c r="R54" s="19" t="str">
        <x:v>active</x:v>
      </x:c>
      <x:c r="S54" s="32" t="str">
        <x:v>2026-02-16</x:v>
      </x:c>
      <x:c r="T54" s="19" t="str">
        <x:v>Mock data generated for demo; not real inventory</x:v>
      </x:c>
    </x:row>
    <x:row r="55" ht="36" customHeight="1">
      <x:c r="A55" s="19" t="n">
        <x:v>54</x:v>
      </x:c>
      <x:c r="B55" s="19" t="str">
        <x:v>TCH-PWR-0054</x:v>
      </x:c>
      <x:c r="C55" s="19" t="str">
        <x:v>Baseus Blade 20000mAh</x:v>
      </x:c>
      <x:c r="D55" s="19" t="str">
        <x:v>baseus-blade-20000mah-054</x:v>
      </x:c>
      <x:c r="E55" s="19" t="str">
        <x:v>Pin sạc dự phòng</x:v>
      </x:c>
      <x:c r="F55" s="19" t="str">
        <x:v>Baseus</x:v>
      </x:c>
      <x:c r="G55" s="24" t="n">
        <x:v>959000</x:v>
      </x:c>
      <x:c r="H55" s="24" t="n">
        <x:v>1130000</x:v>
      </x:c>
      <x:c r="I55" s="26" t="n">
        <x:v>15</x:v>
      </x:c>
      <x:c r="J55" s="28" t="n">
        <x:v>41</x:v>
      </x:c>
      <x:c r="K55" s="30" t="n">
        <x:v>4.1</x:v>
      </x:c>
      <x:c r="L55" s="28" t="n">
        <x:v>334</x:v>
      </x:c>
      <x:c r="M55" s="28" t="n">
        <x:v>18</x:v>
      </x:c>
      <x:c r="N55" s="19" t="str">
        <x:v>https://placehold.co/600x600?text=PWR+054</x:v>
      </x:c>
      <x:c r="O55" s="19" t="str">
        <x:v>Baseus Blade 20000mAh thuộc nhóm pin sạc dự phòng, phù hợp cho nhu cầu học tập, làm việc và giải trí trong website demo bán hàng công nghệ.</x:v>
      </x:c>
      <x:c r="P55" s="19" t="str">
        <x:v>{"capacity": "20000mAh", "fast_charge": "30W", "ports": "3 cổng"}</x:v>
      </x:c>
      <x:c r="Q55" s="20" t="b">
        <x:v>0</x:v>
      </x:c>
      <x:c r="R55" s="19" t="str">
        <x:v>active</x:v>
      </x:c>
      <x:c r="S55" s="32" t="str">
        <x:v>2026-03-06</x:v>
      </x:c>
      <x:c r="T55" s="19" t="str">
        <x:v>Mock data generated for demo; not real inventory</x:v>
      </x:c>
    </x:row>
    <x:row r="56" ht="36" customHeight="1">
      <x:c r="A56" s="19" t="n">
        <x:v>55</x:v>
      </x:c>
      <x:c r="B56" s="19" t="str">
        <x:v>TCH-PWR-0055</x:v>
      </x:c>
      <x:c r="C56" s="19" t="str">
        <x:v>Xiaomi Mi Power Bank 20000 SE</x:v>
      </x:c>
      <x:c r="D56" s="19" t="str">
        <x:v>xiaomi-mi-power-bank-20000-se-055</x:v>
      </x:c>
      <x:c r="E56" s="19" t="str">
        <x:v>Pin sạc dự phòng</x:v>
      </x:c>
      <x:c r="F56" s="19" t="str">
        <x:v>Xiaomi</x:v>
      </x:c>
      <x:c r="G56" s="24" t="n">
        <x:v>499000</x:v>
      </x:c>
      <x:c r="H56" s="24" t="n">
        <x:v>620000</x:v>
      </x:c>
      <x:c r="I56" s="26" t="n">
        <x:v>20</x:v>
      </x:c>
      <x:c r="J56" s="28" t="n">
        <x:v>2</x:v>
      </x:c>
      <x:c r="K56" s="30" t="n">
        <x:v>4.7</x:v>
      </x:c>
      <x:c r="L56" s="28" t="n">
        <x:v>53</x:v>
      </x:c>
      <x:c r="M56" s="28" t="n">
        <x:v>18</x:v>
      </x:c>
      <x:c r="N56" s="19" t="str">
        <x:v>https://placehold.co/600x600?text=PWR+055</x:v>
      </x:c>
      <x:c r="O56" s="19" t="str">
        <x:v>Xiaomi Mi Power Bank 20000 SE thuộc nhóm pin sạc dự phòng, phù hợp cho nhu cầu học tập, làm việc và giải trí trong website demo bán hàng công nghệ.</x:v>
      </x:c>
      <x:c r="P56" s="19" t="str">
        <x:v>{"capacity": "10000mAh", "fast_charge": "18W", "ports": "2 cổng"}</x:v>
      </x:c>
      <x:c r="Q56" s="20" t="b">
        <x:v>0</x:v>
      </x:c>
      <x:c r="R56" s="19" t="str">
        <x:v>active</x:v>
      </x:c>
      <x:c r="S56" s="32" t="str">
        <x:v>2026-03-05</x:v>
      </x:c>
      <x:c r="T56" s="19" t="str">
        <x:v>Mock data generated for demo; not real inventory</x:v>
      </x:c>
    </x:row>
    <x:row r="57" ht="36" customHeight="1">
      <x:c r="A57" s="19" t="n">
        <x:v>56</x:v>
      </x:c>
      <x:c r="B57" s="19" t="str">
        <x:v>TCH-PWR-0056</x:v>
      </x:c>
      <x:c r="C57" s="19" t="str">
        <x:v>Ugreen Nexode 12000 2025</x:v>
      </x:c>
      <x:c r="D57" s="19" t="str">
        <x:v>ugreen-nexode-12000-2025-056</x:v>
      </x:c>
      <x:c r="E57" s="19" t="str">
        <x:v>Pin sạc dự phòng</x:v>
      </x:c>
      <x:c r="F57" s="19" t="str">
        <x:v>Ugreen</x:v>
      </x:c>
      <x:c r="G57" s="24" t="n">
        <x:v>2490000</x:v>
      </x:c>
      <x:c r="H57" s="24" t="n">
        <x:v>2490000</x:v>
      </x:c>
      <x:c r="I57" s="26" t="n">
        <x:v>0</x:v>
      </x:c>
      <x:c r="J57" s="28" t="n">
        <x:v>79</x:v>
      </x:c>
      <x:c r="K57" s="30" t="n">
        <x:v>4</x:v>
      </x:c>
      <x:c r="L57" s="28" t="n">
        <x:v>129</x:v>
      </x:c>
      <x:c r="M57" s="28" t="n">
        <x:v>24</x:v>
      </x:c>
      <x:c r="N57" s="19" t="str">
        <x:v>https://placehold.co/600x600?text=PWR+056</x:v>
      </x:c>
      <x:c r="O57" s="19" t="str">
        <x:v>Ugreen Nexode 12000 2025 thuộc nhóm pin sạc dự phòng, phù hợp cho nhu cầu học tập, làm việc và giải trí trong website demo bán hàng công nghệ.</x:v>
      </x:c>
      <x:c r="P57" s="19" t="str">
        <x:v>{"capacity": "30000mAh", "fast_charge": "22.5W", "ports": "3 cổng"}</x:v>
      </x:c>
      <x:c r="Q57" s="20" t="b">
        <x:v>0</x:v>
      </x:c>
      <x:c r="R57" s="19" t="str">
        <x:v>active</x:v>
      </x:c>
      <x:c r="S57" s="32" t="str">
        <x:v>2026-03-07</x:v>
      </x:c>
      <x:c r="T57" s="19" t="str">
        <x:v>Mock data generated for demo; not real inventory</x:v>
      </x:c>
    </x:row>
    <x:row r="58" ht="36" customHeight="1">
      <x:c r="A58" s="19" t="n">
        <x:v>57</x:v>
      </x:c>
      <x:c r="B58" s="19" t="str">
        <x:v>TCH-PWR-0057</x:v>
      </x:c>
      <x:c r="C58" s="19" t="str">
        <x:v>Energizer Ultimate 10000 SE</x:v>
      </x:c>
      <x:c r="D58" s="19" t="str">
        <x:v>energizer-ultimate-10000-se-057</x:v>
      </x:c>
      <x:c r="E58" s="19" t="str">
        <x:v>Pin sạc dự phòng</x:v>
      </x:c>
      <x:c r="F58" s="19" t="str">
        <x:v>Energizer</x:v>
      </x:c>
      <x:c r="G58" s="24" t="n">
        <x:v>1290000</x:v>
      </x:c>
      <x:c r="H58" s="24" t="n">
        <x:v>1360000</x:v>
      </x:c>
      <x:c r="I58" s="26" t="n">
        <x:v>5</x:v>
      </x:c>
      <x:c r="J58" s="28" t="n">
        <x:v>77</x:v>
      </x:c>
      <x:c r="K58" s="30" t="n">
        <x:v>4.5</x:v>
      </x:c>
      <x:c r="L58" s="28" t="n">
        <x:v>765</x:v>
      </x:c>
      <x:c r="M58" s="28" t="n">
        <x:v>6</x:v>
      </x:c>
      <x:c r="N58" s="19" t="str">
        <x:v>https://placehold.co/600x600?text=PWR+057</x:v>
      </x:c>
      <x:c r="O58" s="19" t="str">
        <x:v>Energizer Ultimate 10000 SE thuộc nhóm pin sạc dự phòng, phù hợp cho nhu cầu học tập, làm việc và giải trí trong website demo bán hàng công nghệ.</x:v>
      </x:c>
      <x:c r="P58" s="19" t="str">
        <x:v>{"capacity": "10000mAh", "fast_charge": "30W", "ports": "2 cổng"}</x:v>
      </x:c>
      <x:c r="Q58" s="20" t="b">
        <x:v>0</x:v>
      </x:c>
      <x:c r="R58" s="19" t="str">
        <x:v>active</x:v>
      </x:c>
      <x:c r="S58" s="32" t="str">
        <x:v>2026-05-29</x:v>
      </x:c>
      <x:c r="T58" s="19" t="str">
        <x:v>Mock data generated for demo; not real inventory</x:v>
      </x:c>
    </x:row>
    <x:row r="59" ht="36" customHeight="1">
      <x:c r="A59" s="19" t="n">
        <x:v>58</x:v>
      </x:c>
      <x:c r="B59" s="19" t="str">
        <x:v>TCH-PWR-0058</x:v>
      </x:c>
      <x:c r="C59" s="19" t="str">
        <x:v>Mophie Powerstation 10K</x:v>
      </x:c>
      <x:c r="D59" s="19" t="str">
        <x:v>mophie-powerstation-10k-058</x:v>
      </x:c>
      <x:c r="E59" s="19" t="str">
        <x:v>Pin sạc dự phòng</x:v>
      </x:c>
      <x:c r="F59" s="19" t="str">
        <x:v>Mophie</x:v>
      </x:c>
      <x:c r="G59" s="24" t="n">
        <x:v>1090000</x:v>
      </x:c>
      <x:c r="H59" s="24" t="n">
        <x:v>1280000</x:v>
      </x:c>
      <x:c r="I59" s="26" t="n">
        <x:v>15</x:v>
      </x:c>
      <x:c r="J59" s="28" t="n">
        <x:v>50</x:v>
      </x:c>
      <x:c r="K59" s="30" t="n">
        <x:v>4.9</x:v>
      </x:c>
      <x:c r="L59" s="28" t="n">
        <x:v>203</x:v>
      </x:c>
      <x:c r="M59" s="28" t="n">
        <x:v>6</x:v>
      </x:c>
      <x:c r="N59" s="19" t="str">
        <x:v>https://placehold.co/600x600?text=PWR+058</x:v>
      </x:c>
      <x:c r="O59" s="19" t="str">
        <x:v>Mophie Powerstation 10K thuộc nhóm pin sạc dự phòng, phù hợp cho nhu cầu học tập, làm việc và giải trí trong website demo bán hàng công nghệ.</x:v>
      </x:c>
      <x:c r="P59" s="19" t="str">
        <x:v>{"capacity": "30000mAh", "fast_charge": "22.5W", "ports": "2 cổng"}</x:v>
      </x:c>
      <x:c r="Q59" s="20" t="b">
        <x:v>0</x:v>
      </x:c>
      <x:c r="R59" s="19" t="str">
        <x:v>active</x:v>
      </x:c>
      <x:c r="S59" s="32" t="str">
        <x:v>2026-03-19</x:v>
      </x:c>
      <x:c r="T59" s="19" t="str">
        <x:v>Mock data generated for demo; not real inventory</x:v>
      </x:c>
    </x:row>
    <x:row r="60" ht="36" customHeight="1">
      <x:c r="A60" s="19" t="n">
        <x:v>59</x:v>
      </x:c>
      <x:c r="B60" s="19" t="str">
        <x:v>TCH-MOU-0059</x:v>
      </x:c>
      <x:c r="C60" s="19" t="str">
        <x:v>Logitech M650 Silent SE</x:v>
      </x:c>
      <x:c r="D60" s="19" t="str">
        <x:v>logitech-m650-silent-se-059</x:v>
      </x:c>
      <x:c r="E60" s="19" t="str">
        <x:v>Chuột</x:v>
      </x:c>
      <x:c r="F60" s="19" t="str">
        <x:v>Logitech</x:v>
      </x:c>
      <x:c r="G60" s="24" t="n">
        <x:v>3190000</x:v>
      </x:c>
      <x:c r="H60" s="24" t="n">
        <x:v>3190000</x:v>
      </x:c>
      <x:c r="I60" s="26" t="n">
        <x:v>0</x:v>
      </x:c>
      <x:c r="J60" s="28" t="n">
        <x:v>101</x:v>
      </x:c>
      <x:c r="K60" s="30" t="n">
        <x:v>5</x:v>
      </x:c>
      <x:c r="L60" s="28" t="n">
        <x:v>801</x:v>
      </x:c>
      <x:c r="M60" s="28" t="n">
        <x:v>12</x:v>
      </x:c>
      <x:c r="N60" s="19" t="str">
        <x:v>https://placehold.co/600x600?text=MOU+059</x:v>
      </x:c>
      <x:c r="O60" s="19" t="str">
        <x:v>Logitech M650 Silent SE thuộc nhóm chuột, phù hợp cho nhu cầu học tập, làm việc và giải trí trong website demo bán hàng công nghệ.</x:v>
      </x:c>
      <x:c r="P60" s="19" t="str">
        <x:v>{"connection": "Wireless 2.4GHz", "dpi": "26000 DPI", "silent": "Không"}</x:v>
      </x:c>
      <x:c r="Q60" s="20" t="b">
        <x:v>0</x:v>
      </x:c>
      <x:c r="R60" s="19" t="str">
        <x:v>active</x:v>
      </x:c>
      <x:c r="S60" s="32" t="str">
        <x:v>2026-01-18</x:v>
      </x:c>
      <x:c r="T60" s="19" t="str">
        <x:v>Mock data generated for demo; not real inventory</x:v>
      </x:c>
    </x:row>
    <x:row r="61" ht="36" customHeight="1">
      <x:c r="A61" s="19" t="n">
        <x:v>60</x:v>
      </x:c>
      <x:c r="B61" s="19" t="str">
        <x:v>TCH-MOU-0060</x:v>
      </x:c>
      <x:c r="C61" s="19" t="str">
        <x:v>Razer DeathAdder V3 Max</x:v>
      </x:c>
      <x:c r="D61" s="19" t="str">
        <x:v>razer-deathadder-v3-max-060</x:v>
      </x:c>
      <x:c r="E61" s="19" t="str">
        <x:v>Chuột</x:v>
      </x:c>
      <x:c r="F61" s="19" t="str">
        <x:v>Razer</x:v>
      </x:c>
      <x:c r="G61" s="24" t="n">
        <x:v>1890000</x:v>
      </x:c>
      <x:c r="H61" s="24" t="n">
        <x:v>1890000</x:v>
      </x:c>
      <x:c r="I61" s="26" t="n">
        <x:v>0</x:v>
      </x:c>
      <x:c r="J61" s="28" t="n">
        <x:v>108</x:v>
      </x:c>
      <x:c r="K61" s="30" t="n">
        <x:v>4.3</x:v>
      </x:c>
      <x:c r="L61" s="28" t="n">
        <x:v>501</x:v>
      </x:c>
      <x:c r="M61" s="28" t="n">
        <x:v>12</x:v>
      </x:c>
      <x:c r="N61" s="19" t="str">
        <x:v>https://placehold.co/600x600?text=MOU+060</x:v>
      </x:c>
      <x:c r="O61" s="19" t="str">
        <x:v>Razer DeathAdder V3 Max thuộc nhóm chuột, phù hợp cho nhu cầu học tập, làm việc và giải trí trong website demo bán hàng công nghệ.</x:v>
      </x:c>
      <x:c r="P61" s="19" t="str">
        <x:v>{"connection": "Wireless 2.4GHz", "dpi": "26000 DPI", "silent": "Không"}</x:v>
      </x:c>
      <x:c r="Q61" s="20" t="b">
        <x:v>0</x:v>
      </x:c>
      <x:c r="R61" s="19" t="str">
        <x:v>active</x:v>
      </x:c>
      <x:c r="S61" s="32" t="str">
        <x:v>2026-02-09</x:v>
      </x:c>
      <x:c r="T61" s="19" t="str">
        <x:v>Mock data generated for demo; not real inventory</x:v>
      </x:c>
    </x:row>
    <x:row r="62" ht="36" customHeight="1">
      <x:c r="A62" s="19" t="n">
        <x:v>61</x:v>
      </x:c>
      <x:c r="B62" s="19" t="str">
        <x:v>TCH-MOU-0061</x:v>
      </x:c>
      <x:c r="C62" s="19" t="str">
        <x:v>SteelSeries Rival 3 Wireless Pro</x:v>
      </x:c>
      <x:c r="D62" s="19" t="str">
        <x:v>steelseries-rival-3-wireless-pro-061</x:v>
      </x:c>
      <x:c r="E62" s="19" t="str">
        <x:v>Chuột</x:v>
      </x:c>
      <x:c r="F62" s="19" t="str">
        <x:v>SteelSeries</x:v>
      </x:c>
      <x:c r="G62" s="24" t="n">
        <x:v>999000</x:v>
      </x:c>
      <x:c r="H62" s="24" t="n">
        <x:v>1110000</x:v>
      </x:c>
      <x:c r="I62" s="26" t="n">
        <x:v>10</x:v>
      </x:c>
      <x:c r="J62" s="28" t="n">
        <x:v>78</x:v>
      </x:c>
      <x:c r="K62" s="30" t="n">
        <x:v>4.8</x:v>
      </x:c>
      <x:c r="L62" s="28" t="n">
        <x:v>551</x:v>
      </x:c>
      <x:c r="M62" s="28" t="n">
        <x:v>24</x:v>
      </x:c>
      <x:c r="N62" s="19" t="str">
        <x:v>https://placehold.co/600x600?text=MOU+061</x:v>
      </x:c>
      <x:c r="O62" s="19" t="str">
        <x:v>SteelSeries Rival 3 Wireless Pro thuộc nhóm chuột, phù hợp cho nhu cầu học tập, làm việc và giải trí trong website demo bán hàng công nghệ.</x:v>
      </x:c>
      <x:c r="P62" s="19" t="str">
        <x:v>{"connection": "USB-C wired", "dpi": "26000 DPI", "silent": "Không"}</x:v>
      </x:c>
      <x:c r="Q62" s="20" t="b">
        <x:v>0</x:v>
      </x:c>
      <x:c r="R62" s="19" t="str">
        <x:v>active</x:v>
      </x:c>
      <x:c r="S62" s="32" t="str">
        <x:v>2026-03-24</x:v>
      </x:c>
      <x:c r="T62" s="19" t="str">
        <x:v>Mock data generated for demo; not real inventory</x:v>
      </x:c>
    </x:row>
    <x:row r="63" ht="36" customHeight="1">
      <x:c r="A63" s="19" t="n">
        <x:v>62</x:v>
      </x:c>
      <x:c r="B63" s="19" t="str">
        <x:v>TCH-MOU-0062</x:v>
      </x:c>
      <x:c r="C63" s="19" t="str">
        <x:v>ASUS TUF M3 SE</x:v>
      </x:c>
      <x:c r="D63" s="19" t="str">
        <x:v>asus-tuf-m3-se-062</x:v>
      </x:c>
      <x:c r="E63" s="19" t="str">
        <x:v>Chuột</x:v>
      </x:c>
      <x:c r="F63" s="19" t="str">
        <x:v>ASUS</x:v>
      </x:c>
      <x:c r="G63" s="24" t="n">
        <x:v>1390000</x:v>
      </x:c>
      <x:c r="H63" s="24" t="n">
        <x:v>1390000</x:v>
      </x:c>
      <x:c r="I63" s="26" t="n">
        <x:v>0</x:v>
      </x:c>
      <x:c r="J63" s="28" t="n">
        <x:v>35</x:v>
      </x:c>
      <x:c r="K63" s="30" t="n">
        <x:v>4.9</x:v>
      </x:c>
      <x:c r="L63" s="28" t="n">
        <x:v>249</x:v>
      </x:c>
      <x:c r="M63" s="28" t="n">
        <x:v>24</x:v>
      </x:c>
      <x:c r="N63" s="19" t="str">
        <x:v>https://placehold.co/600x600?text=MOU+062</x:v>
      </x:c>
      <x:c r="O63" s="19" t="str">
        <x:v>ASUS TUF M3 SE thuộc nhóm chuột, phù hợp cho nhu cầu học tập, làm việc và giải trí trong website demo bán hàng công nghệ.</x:v>
      </x:c>
      <x:c r="P63" s="19" t="str">
        <x:v>{"connection": "USB-C wired", "dpi": "8000 DPI", "silent": "Không"}</x:v>
      </x:c>
      <x:c r="Q63" s="20" t="b">
        <x:v>0</x:v>
      </x:c>
      <x:c r="R63" s="19" t="str">
        <x:v>active</x:v>
      </x:c>
      <x:c r="S63" s="32" t="str">
        <x:v>2026-01-08</x:v>
      </x:c>
      <x:c r="T63" s="19" t="str">
        <x:v>Mock data generated for demo; not real inventory</x:v>
      </x:c>
    </x:row>
    <x:row r="64" ht="36" customHeight="1">
      <x:c r="A64" s="19" t="n">
        <x:v>63</x:v>
      </x:c>
      <x:c r="B64" s="19" t="str">
        <x:v>TCH-MOU-0063</x:v>
      </x:c>
      <x:c r="C64" s="19" t="str">
        <x:v>Microsoft Bluetooth Mouse Pro</x:v>
      </x:c>
      <x:c r="D64" s="19" t="str">
        <x:v>microsoft-bluetooth-mouse-pro-063</x:v>
      </x:c>
      <x:c r="E64" s="19" t="str">
        <x:v>Chuột</x:v>
      </x:c>
      <x:c r="F64" s="19" t="str">
        <x:v>Microsoft</x:v>
      </x:c>
      <x:c r="G64" s="24" t="n">
        <x:v>1790000</x:v>
      </x:c>
      <x:c r="H64" s="24" t="n">
        <x:v>1880000</x:v>
      </x:c>
      <x:c r="I64" s="26" t="n">
        <x:v>5</x:v>
      </x:c>
      <x:c r="J64" s="28" t="n">
        <x:v>62</x:v>
      </x:c>
      <x:c r="K64" s="30" t="n">
        <x:v>4.1</x:v>
      </x:c>
      <x:c r="L64" s="28" t="n">
        <x:v>816</x:v>
      </x:c>
      <x:c r="M64" s="28" t="n">
        <x:v>24</x:v>
      </x:c>
      <x:c r="N64" s="19" t="str">
        <x:v>https://placehold.co/600x600?text=MOU+063</x:v>
      </x:c>
      <x:c r="O64" s="19" t="str">
        <x:v>Microsoft Bluetooth Mouse Pro thuộc nhóm chuột, phù hợp cho nhu cầu học tập, làm việc và giải trí trong website demo bán hàng công nghệ.</x:v>
      </x:c>
      <x:c r="P64" s="19" t="str">
        <x:v>{"connection": "USB-C wired", "dpi": "26000 DPI", "silent": "Không"}</x:v>
      </x:c>
      <x:c r="Q64" s="20" t="b">
        <x:v>0</x:v>
      </x:c>
      <x:c r="R64" s="19" t="str">
        <x:v>active</x:v>
      </x:c>
      <x:c r="S64" s="32" t="str">
        <x:v>2026-05-23</x:v>
      </x:c>
      <x:c r="T64" s="19" t="str">
        <x:v>Mock data generated for demo; not real inventory</x:v>
      </x:c>
    </x:row>
    <x:row r="65" ht="36" customHeight="1">
      <x:c r="A65" s="19" t="n">
        <x:v>64</x:v>
      </x:c>
      <x:c r="B65" s="19" t="str">
        <x:v>TCH-MOU-0064</x:v>
      </x:c>
      <x:c r="C65" s="19" t="str">
        <x:v>Rapoo MT760</x:v>
      </x:c>
      <x:c r="D65" s="19" t="str">
        <x:v>rapoo-mt760-064</x:v>
      </x:c>
      <x:c r="E65" s="19" t="str">
        <x:v>Chuột</x:v>
      </x:c>
      <x:c r="F65" s="19" t="str">
        <x:v>Rapoo</x:v>
      </x:c>
      <x:c r="G65" s="24" t="n">
        <x:v>2790000</x:v>
      </x:c>
      <x:c r="H65" s="24" t="n">
        <x:v>3000000</x:v>
      </x:c>
      <x:c r="I65" s="26" t="n">
        <x:v>7</x:v>
      </x:c>
      <x:c r="J65" s="28" t="n">
        <x:v>10</x:v>
      </x:c>
      <x:c r="K65" s="30" t="n">
        <x:v>4.1</x:v>
      </x:c>
      <x:c r="L65" s="28" t="n">
        <x:v>416</x:v>
      </x:c>
      <x:c r="M65" s="28" t="n">
        <x:v>24</x:v>
      </x:c>
      <x:c r="N65" s="19" t="str">
        <x:v>https://placehold.co/600x600?text=MOU+064</x:v>
      </x:c>
      <x:c r="O65" s="19" t="str">
        <x:v>Rapoo MT760 thuộc nhóm chuột, phù hợp cho nhu cầu học tập, làm việc và giải trí trong website demo bán hàng công nghệ.</x:v>
      </x:c>
      <x:c r="P65" s="19" t="str">
        <x:v>{"connection": "Bluetooth", "dpi": "26000 DPI", "silent": "Không"}</x:v>
      </x:c>
      <x:c r="Q65" s="20" t="b">
        <x:v>0</x:v>
      </x:c>
      <x:c r="R65" s="19" t="str">
        <x:v>active</x:v>
      </x:c>
      <x:c r="S65" s="32" t="str">
        <x:v>2026-05-06</x:v>
      </x:c>
      <x:c r="T65" s="19" t="str">
        <x:v>Mock data generated for demo; not real inventory</x:v>
      </x:c>
    </x:row>
    <x:row r="66" ht="36" customHeight="1">
      <x:c r="A66" s="19" t="n">
        <x:v>65</x:v>
      </x:c>
      <x:c r="B66" s="19" t="str">
        <x:v>TCH-KEY-0065</x:v>
      </x:c>
      <x:c r="C66" s="19" t="str">
        <x:v>Logitech K380 Multi-Device Pro</x:v>
      </x:c>
      <x:c r="D66" s="19" t="str">
        <x:v>logitech-k380-multi-device-pro-065</x:v>
      </x:c>
      <x:c r="E66" s="19" t="str">
        <x:v>Bàn phím</x:v>
      </x:c>
      <x:c r="F66" s="19" t="str">
        <x:v>Logitech</x:v>
      </x:c>
      <x:c r="G66" s="24" t="n">
        <x:v>4290000</x:v>
      </x:c>
      <x:c r="H66" s="24" t="n">
        <x:v>4290000</x:v>
      </x:c>
      <x:c r="I66" s="26" t="n">
        <x:v>0</x:v>
      </x:c>
      <x:c r="J66" s="28" t="n">
        <x:v>11</x:v>
      </x:c>
      <x:c r="K66" s="30" t="n">
        <x:v>4.2</x:v>
      </x:c>
      <x:c r="L66" s="28" t="n">
        <x:v>414</x:v>
      </x:c>
      <x:c r="M66" s="28" t="n">
        <x:v>36</x:v>
      </x:c>
      <x:c r="N66" s="19" t="str">
        <x:v>https://placehold.co/600x600?text=KEY+065</x:v>
      </x:c>
      <x:c r="O66" s="19" t="str">
        <x:v>Logitech K380 Multi-Device Pro thuộc nhóm bàn phím, phù hợp cho nhu cầu học tập, làm việc và giải trí trong website demo bán hàng công nghệ.</x:v>
      </x:c>
      <x:c r="P66" s="19" t="str">
        <x:v>{"layout": "Full-size", "switch": "Red", "connection": "2.4GHz"}</x:v>
      </x:c>
      <x:c r="Q66" s="20" t="b">
        <x:v>0</x:v>
      </x:c>
      <x:c r="R66" s="19" t="str">
        <x:v>active</x:v>
      </x:c>
      <x:c r="S66" s="32" t="str">
        <x:v>2026-05-22</x:v>
      </x:c>
      <x:c r="T66" s="19" t="str">
        <x:v>Mock data generated for demo; not real inventory</x:v>
      </x:c>
    </x:row>
    <x:row r="67" ht="36" customHeight="1">
      <x:c r="A67" s="19" t="n">
        <x:v>66</x:v>
      </x:c>
      <x:c r="B67" s="19" t="str">
        <x:v>TCH-KEY-0066</x:v>
      </x:c>
      <x:c r="C67" s="19" t="str">
        <x:v>Akko 5075B Plus Max</x:v>
      </x:c>
      <x:c r="D67" s="19" t="str">
        <x:v>akko-5075b-plus-max-066</x:v>
      </x:c>
      <x:c r="E67" s="19" t="str">
        <x:v>Bàn phím</x:v>
      </x:c>
      <x:c r="F67" s="19" t="str">
        <x:v>Akko</x:v>
      </x:c>
      <x:c r="G67" s="24" t="n">
        <x:v>1990000</x:v>
      </x:c>
      <x:c r="H67" s="24" t="n">
        <x:v>2340000</x:v>
      </x:c>
      <x:c r="I67" s="26" t="n">
        <x:v>15</x:v>
      </x:c>
      <x:c r="J67" s="28" t="n">
        <x:v>95</x:v>
      </x:c>
      <x:c r="K67" s="30" t="n">
        <x:v>4.5</x:v>
      </x:c>
      <x:c r="L67" s="28" t="n">
        <x:v>360</x:v>
      </x:c>
      <x:c r="M67" s="28" t="n">
        <x:v>36</x:v>
      </x:c>
      <x:c r="N67" s="19" t="str">
        <x:v>https://placehold.co/600x600?text=KEY+066</x:v>
      </x:c>
      <x:c r="O67" s="19" t="str">
        <x:v>Akko 5075B Plus Max thuộc nhóm bàn phím, phù hợp cho nhu cầu học tập, làm việc và giải trí trong website demo bán hàng công nghệ.</x:v>
      </x:c>
      <x:c r="P67" s="19" t="str">
        <x:v>{"layout": "87 phím", "switch": "Red", "connection": "Bluetooth"}</x:v>
      </x:c>
      <x:c r="Q67" s="20" t="b">
        <x:v>0</x:v>
      </x:c>
      <x:c r="R67" s="19" t="str">
        <x:v>active</x:v>
      </x:c>
      <x:c r="S67" s="32" t="str">
        <x:v>2026-01-31</x:v>
      </x:c>
      <x:c r="T67" s="19" t="str">
        <x:v>Mock data generated for demo; not real inventory</x:v>
      </x:c>
    </x:row>
    <x:row r="68" ht="36" customHeight="1">
      <x:c r="A68" s="19" t="n">
        <x:v>67</x:v>
      </x:c>
      <x:c r="B68" s="19" t="str">
        <x:v>TCH-KEY-0067</x:v>
      </x:c>
      <x:c r="C68" s="19" t="str">
        <x:v>Keychron K2 Pro Lite</x:v>
      </x:c>
      <x:c r="D68" s="19" t="str">
        <x:v>keychron-k2-pro-lite-067</x:v>
      </x:c>
      <x:c r="E68" s="19" t="str">
        <x:v>Bàn phím</x:v>
      </x:c>
      <x:c r="F68" s="19" t="str">
        <x:v>Keychron</x:v>
      </x:c>
      <x:c r="G68" s="24" t="n">
        <x:v>1190000</x:v>
      </x:c>
      <x:c r="H68" s="24" t="n">
        <x:v>1350000</x:v>
      </x:c>
      <x:c r="I68" s="26" t="n">
        <x:v>12</x:v>
      </x:c>
      <x:c r="J68" s="28" t="n">
        <x:v>15</x:v>
      </x:c>
      <x:c r="K68" s="30" t="n">
        <x:v>4.7</x:v>
      </x:c>
      <x:c r="L68" s="28" t="n">
        <x:v>780</x:v>
      </x:c>
      <x:c r="M68" s="28" t="n">
        <x:v>36</x:v>
      </x:c>
      <x:c r="N68" s="19" t="str">
        <x:v>https://placehold.co/600x600?text=KEY+067</x:v>
      </x:c>
      <x:c r="O68" s="19" t="str">
        <x:v>Keychron K2 Pro Lite thuộc nhóm bàn phím, phù hợp cho nhu cầu học tập, làm việc và giải trí trong website demo bán hàng công nghệ.</x:v>
      </x:c>
      <x:c r="P68" s="19" t="str">
        <x:v>{"layout": "75%", "switch": "Low-profile", "connection": "2.4GHz"}</x:v>
      </x:c>
      <x:c r="Q68" s="20" t="b">
        <x:v>0</x:v>
      </x:c>
      <x:c r="R68" s="19" t="str">
        <x:v>active</x:v>
      </x:c>
      <x:c r="S68" s="32" t="str">
        <x:v>2026-05-31</x:v>
      </x:c>
      <x:c r="T68" s="19" t="str">
        <x:v>Mock data generated for demo; not real inventory</x:v>
      </x:c>
    </x:row>
    <x:row r="69" ht="36" customHeight="1">
      <x:c r="A69" s="19" t="n">
        <x:v>68</x:v>
      </x:c>
      <x:c r="B69" s="19" t="str">
        <x:v>TCH-KEY-0068</x:v>
      </x:c>
      <x:c r="C69" s="19" t="str">
        <x:v>Razer BlackWidow V4 SE</x:v>
      </x:c>
      <x:c r="D69" s="19" t="str">
        <x:v>razer-blackwidow-v4-se-068</x:v>
      </x:c>
      <x:c r="E69" s="19" t="str">
        <x:v>Bàn phím</x:v>
      </x:c>
      <x:c r="F69" s="19" t="str">
        <x:v>Razer</x:v>
      </x:c>
      <x:c r="G69" s="24" t="n">
        <x:v>2890000</x:v>
      </x:c>
      <x:c r="H69" s="24" t="n">
        <x:v>3210000</x:v>
      </x:c>
      <x:c r="I69" s="26" t="n">
        <x:v>10</x:v>
      </x:c>
      <x:c r="J69" s="28" t="n">
        <x:v>12</x:v>
      </x:c>
      <x:c r="K69" s="30" t="n">
        <x:v>4.8</x:v>
      </x:c>
      <x:c r="L69" s="28" t="n">
        <x:v>303</x:v>
      </x:c>
      <x:c r="M69" s="28" t="n">
        <x:v>12</x:v>
      </x:c>
      <x:c r="N69" s="19" t="str">
        <x:v>https://placehold.co/600x600?text=KEY+068</x:v>
      </x:c>
      <x:c r="O69" s="19" t="str">
        <x:v>Razer BlackWidow V4 SE thuộc nhóm bàn phím, phù hợp cho nhu cầu học tập, làm việc và giải trí trong website demo bán hàng công nghệ.</x:v>
      </x:c>
      <x:c r="P69" s="19" t="str">
        <x:v>{"layout": "87 phím", "switch": "Blue", "connection": "USB-C"}</x:v>
      </x:c>
      <x:c r="Q69" s="20" t="b">
        <x:v>0</x:v>
      </x:c>
      <x:c r="R69" s="19" t="str">
        <x:v>active</x:v>
      </x:c>
      <x:c r="S69" s="32" t="str">
        <x:v>2026-05-17</x:v>
      </x:c>
      <x:c r="T69" s="19" t="str">
        <x:v>Mock data generated for demo; not real inventory</x:v>
      </x:c>
    </x:row>
    <x:row r="70" ht="36" customHeight="1">
      <x:c r="A70" s="19" t="n">
        <x:v>69</x:v>
      </x:c>
      <x:c r="B70" s="19" t="str">
        <x:v>TCH-KEY-0069</x:v>
      </x:c>
      <x:c r="C70" s="19" t="str">
        <x:v>DareU EK87 2025</x:v>
      </x:c>
      <x:c r="D70" s="19" t="str">
        <x:v>dareu-ek87-2025-069</x:v>
      </x:c>
      <x:c r="E70" s="19" t="str">
        <x:v>Bàn phím</x:v>
      </x:c>
      <x:c r="F70" s="19" t="str">
        <x:v>DareU</x:v>
      </x:c>
      <x:c r="G70" s="24" t="n">
        <x:v>1590000</x:v>
      </x:c>
      <x:c r="H70" s="24" t="n">
        <x:v>1590000</x:v>
      </x:c>
      <x:c r="I70" s="26" t="n">
        <x:v>0</x:v>
      </x:c>
      <x:c r="J70" s="28" t="n">
        <x:v>6</x:v>
      </x:c>
      <x:c r="K70" s="30" t="n">
        <x:v>4.5</x:v>
      </x:c>
      <x:c r="L70" s="28" t="n">
        <x:v>714</x:v>
      </x:c>
      <x:c r="M70" s="28" t="n">
        <x:v>12</x:v>
      </x:c>
      <x:c r="N70" s="19" t="str">
        <x:v>https://placehold.co/600x600?text=KEY+069</x:v>
      </x:c>
      <x:c r="O70" s="19" t="str">
        <x:v>DareU EK87 2025 thuộc nhóm bàn phím, phù hợp cho nhu cầu học tập, làm việc và giải trí trong website demo bán hàng công nghệ.</x:v>
      </x:c>
      <x:c r="P70" s="19" t="str">
        <x:v>{"layout": "87 phím", "switch": "Blue", "connection": "Bluetooth"}</x:v>
      </x:c>
      <x:c r="Q70" s="20" t="b">
        <x:v>0</x:v>
      </x:c>
      <x:c r="R70" s="19" t="str">
        <x:v>active</x:v>
      </x:c>
      <x:c r="S70" s="32" t="str">
        <x:v>2026-05-27</x:v>
      </x:c>
      <x:c r="T70" s="19" t="str">
        <x:v>Mock data generated for demo; not real inventory</x:v>
      </x:c>
    </x:row>
    <x:row r="71" ht="36" customHeight="1">
      <x:c r="A71" s="19" t="n">
        <x:v>70</x:v>
      </x:c>
      <x:c r="B71" s="19" t="str">
        <x:v>TCH-KEY-0070</x:v>
      </x:c>
      <x:c r="C71" s="19" t="str">
        <x:v>Corsair K70 Core Plus</x:v>
      </x:c>
      <x:c r="D71" s="19" t="str">
        <x:v>corsair-k70-core-plus-070</x:v>
      </x:c>
      <x:c r="E71" s="19" t="str">
        <x:v>Bàn phím</x:v>
      </x:c>
      <x:c r="F71" s="19" t="str">
        <x:v>Corsair</x:v>
      </x:c>
      <x:c r="G71" s="24" t="n">
        <x:v>2590000</x:v>
      </x:c>
      <x:c r="H71" s="24" t="n">
        <x:v>3240000</x:v>
      </x:c>
      <x:c r="I71" s="26" t="n">
        <x:v>20</x:v>
      </x:c>
      <x:c r="J71" s="28" t="n">
        <x:v>56</x:v>
      </x:c>
      <x:c r="K71" s="30" t="n">
        <x:v>4.2</x:v>
      </x:c>
      <x:c r="L71" s="28" t="n">
        <x:v>52</x:v>
      </x:c>
      <x:c r="M71" s="28" t="n">
        <x:v>24</x:v>
      </x:c>
      <x:c r="N71" s="19" t="str">
        <x:v>https://placehold.co/600x600?text=KEY+070</x:v>
      </x:c>
      <x:c r="O71" s="19" t="str">
        <x:v>Corsair K70 Core Plus thuộc nhóm bàn phím, phù hợp cho nhu cầu học tập, làm việc và giải trí trong website demo bán hàng công nghệ.</x:v>
      </x:c>
      <x:c r="P71" s="19" t="str">
        <x:v>{"layout": "87 phím", "switch": "Blue", "connection": "Bluetooth"}</x:v>
      </x:c>
      <x:c r="Q71" s="20" t="b">
        <x:v>0</x:v>
      </x:c>
      <x:c r="R71" s="19" t="str">
        <x:v>active</x:v>
      </x:c>
      <x:c r="S71" s="32" t="str">
        <x:v>2026-04-13</x:v>
      </x:c>
      <x:c r="T71" s="19" t="str">
        <x:v>Mock data generated for demo; not real inventory</x:v>
      </x:c>
    </x:row>
    <x:row r="72" ht="36" customHeight="1">
      <x:c r="A72" s="19" t="n">
        <x:v>71</x:v>
      </x:c>
      <x:c r="B72" s="19" t="str">
        <x:v>TCH-MON-0071</x:v>
      </x:c>
      <x:c r="C72" s="19" t="str">
        <x:v>LG UltraGear 24GN60R Pro</x:v>
      </x:c>
      <x:c r="D72" s="19" t="str">
        <x:v>lg-ultragear-24gn60r-pro-071</x:v>
      </x:c>
      <x:c r="E72" s="19" t="str">
        <x:v>Màn hình</x:v>
      </x:c>
      <x:c r="F72" s="19" t="str">
        <x:v>LG</x:v>
      </x:c>
      <x:c r="G72" s="24" t="n">
        <x:v>3590000</x:v>
      </x:c>
      <x:c r="H72" s="24" t="n">
        <x:v>3590000</x:v>
      </x:c>
      <x:c r="I72" s="26" t="n">
        <x:v>0</x:v>
      </x:c>
      <x:c r="J72" s="28" t="n">
        <x:v>19</x:v>
      </x:c>
      <x:c r="K72" s="30" t="n">
        <x:v>4</x:v>
      </x:c>
      <x:c r="L72" s="28" t="n">
        <x:v>576</x:v>
      </x:c>
      <x:c r="M72" s="28" t="n">
        <x:v>36</x:v>
      </x:c>
      <x:c r="N72" s="19" t="str">
        <x:v>https://placehold.co/600x600?text=MON+071</x:v>
      </x:c>
      <x:c r="O72" s="19" t="str">
        <x:v>LG UltraGear 24GN60R Pro thuộc nhóm màn hình, phù hợp cho nhu cầu học tập, làm việc và giải trí trong website demo bán hàng công nghệ.</x:v>
      </x:c>
      <x:c r="P72" s="19" t="str">
        <x:v>{"size": "24 inch", "resolution": "FHD", "refresh_rate": "180Hz"}</x:v>
      </x:c>
      <x:c r="Q72" s="20" t="b">
        <x:v>1</x:v>
      </x:c>
      <x:c r="R72" s="19" t="str">
        <x:v>active</x:v>
      </x:c>
      <x:c r="S72" s="32" t="str">
        <x:v>2026-02-27</x:v>
      </x:c>
      <x:c r="T72" s="19" t="str">
        <x:v>Mock data generated for demo; not real inventory</x:v>
      </x:c>
    </x:row>
    <x:row r="73" ht="36" customHeight="1">
      <x:c r="A73" s="19" t="n">
        <x:v>72</x:v>
      </x:c>
      <x:c r="B73" s="19" t="str">
        <x:v>TCH-MON-0072</x:v>
      </x:c>
      <x:c r="C73" s="19" t="str">
        <x:v>Samsung Odyssey G3 SE</x:v>
      </x:c>
      <x:c r="D73" s="19" t="str">
        <x:v>samsung-odyssey-g3-se-072</x:v>
      </x:c>
      <x:c r="E73" s="19" t="str">
        <x:v>Màn hình</x:v>
      </x:c>
      <x:c r="F73" s="19" t="str">
        <x:v>Samsung</x:v>
      </x:c>
      <x:c r="G73" s="24" t="n">
        <x:v>12690000</x:v>
      </x:c>
      <x:c r="H73" s="24" t="n">
        <x:v>14930000</x:v>
      </x:c>
      <x:c r="I73" s="26" t="n">
        <x:v>15</x:v>
      </x:c>
      <x:c r="J73" s="28" t="n">
        <x:v>57</x:v>
      </x:c>
      <x:c r="K73" s="30" t="n">
        <x:v>4.9</x:v>
      </x:c>
      <x:c r="L73" s="28" t="n">
        <x:v>304</x:v>
      </x:c>
      <x:c r="M73" s="28" t="n">
        <x:v>36</x:v>
      </x:c>
      <x:c r="N73" s="19" t="str">
        <x:v>https://placehold.co/600x600?text=MON+072</x:v>
      </x:c>
      <x:c r="O73" s="19" t="str">
        <x:v>Samsung Odyssey G3 SE thuộc nhóm màn hình, phù hợp cho nhu cầu học tập, làm việc và giải trí trong website demo bán hàng công nghệ.</x:v>
      </x:c>
      <x:c r="P73" s="19" t="str">
        <x:v>{"size": "32 inch", "resolution": "FHD", "refresh_rate": "75Hz"}</x:v>
      </x:c>
      <x:c r="Q73" s="20" t="b">
        <x:v>0</x:v>
      </x:c>
      <x:c r="R73" s="19" t="str">
        <x:v>active</x:v>
      </x:c>
      <x:c r="S73" s="32" t="str">
        <x:v>2026-02-23</x:v>
      </x:c>
      <x:c r="T73" s="19" t="str">
        <x:v>Mock data generated for demo; not real inventory</x:v>
      </x:c>
    </x:row>
    <x:row r="74" ht="36" customHeight="1">
      <x:c r="A74" s="19" t="n">
        <x:v>73</x:v>
      </x:c>
      <x:c r="B74" s="19" t="str">
        <x:v>TCH-MON-0073</x:v>
      </x:c>
      <x:c r="C74" s="19" t="str">
        <x:v>Dell P2425H Lite</x:v>
      </x:c>
      <x:c r="D74" s="19" t="str">
        <x:v>dell-p2425h-lite-073</x:v>
      </x:c>
      <x:c r="E74" s="19" t="str">
        <x:v>Màn hình</x:v>
      </x:c>
      <x:c r="F74" s="19" t="str">
        <x:v>Dell</x:v>
      </x:c>
      <x:c r="G74" s="24" t="n">
        <x:v>6390000</x:v>
      </x:c>
      <x:c r="H74" s="24" t="n">
        <x:v>7100000</x:v>
      </x:c>
      <x:c r="I74" s="26" t="n">
        <x:v>10</x:v>
      </x:c>
      <x:c r="J74" s="28" t="n">
        <x:v>84</x:v>
      </x:c>
      <x:c r="K74" s="30" t="n">
        <x:v>3.9</x:v>
      </x:c>
      <x:c r="L74" s="28" t="n">
        <x:v>245</x:v>
      </x:c>
      <x:c r="M74" s="28" t="n">
        <x:v>24</x:v>
      </x:c>
      <x:c r="N74" s="19" t="str">
        <x:v>https://placehold.co/600x600?text=MON+073</x:v>
      </x:c>
      <x:c r="O74" s="19" t="str">
        <x:v>Dell P2425H Lite thuộc nhóm màn hình, phù hợp cho nhu cầu học tập, làm việc và giải trí trong website demo bán hàng công nghệ.</x:v>
      </x:c>
      <x:c r="P74" s="19" t="str">
        <x:v>{"size": "24 inch", "resolution": "FHD", "refresh_rate": "180Hz"}</x:v>
      </x:c>
      <x:c r="Q74" s="20" t="b">
        <x:v>0</x:v>
      </x:c>
      <x:c r="R74" s="19" t="str">
        <x:v>active</x:v>
      </x:c>
      <x:c r="S74" s="32" t="str">
        <x:v>2026-04-26</x:v>
      </x:c>
      <x:c r="T74" s="19" t="str">
        <x:v>Mock data generated for demo; not real inventory</x:v>
      </x:c>
    </x:row>
    <x:row r="75" ht="36" customHeight="1">
      <x:c r="A75" s="19" t="n">
        <x:v>74</x:v>
      </x:c>
      <x:c r="B75" s="19" t="str">
        <x:v>TCH-MON-0074</x:v>
      </x:c>
      <x:c r="C75" s="19" t="str">
        <x:v>AOC 24G2SE Lite</x:v>
      </x:c>
      <x:c r="D75" s="19" t="str">
        <x:v>aoc-24g2se-lite-074</x:v>
      </x:c>
      <x:c r="E75" s="19" t="str">
        <x:v>Màn hình</x:v>
      </x:c>
      <x:c r="F75" s="19" t="str">
        <x:v>AOC</x:v>
      </x:c>
      <x:c r="G75" s="24" t="n">
        <x:v>14190000</x:v>
      </x:c>
      <x:c r="H75" s="24" t="n">
        <x:v>17740000</x:v>
      </x:c>
      <x:c r="I75" s="26" t="n">
        <x:v>20</x:v>
      </x:c>
      <x:c r="J75" s="28" t="n">
        <x:v>37</x:v>
      </x:c>
      <x:c r="K75" s="30" t="n">
        <x:v>3.8</x:v>
      </x:c>
      <x:c r="L75" s="28" t="n">
        <x:v>295</x:v>
      </x:c>
      <x:c r="M75" s="28" t="n">
        <x:v>36</x:v>
      </x:c>
      <x:c r="N75" s="19" t="str">
        <x:v>https://placehold.co/600x600?text=MON+074</x:v>
      </x:c>
      <x:c r="O75" s="19" t="str">
        <x:v>AOC 24G2SE Lite thuộc nhóm màn hình, phù hợp cho nhu cầu học tập, làm việc và giải trí trong website demo bán hàng công nghệ.</x:v>
      </x:c>
      <x:c r="P75" s="19" t="str">
        <x:v>{"size": "27 inch", "resolution": "FHD", "refresh_rate": "100Hz"}</x:v>
      </x:c>
      <x:c r="Q75" s="20" t="b">
        <x:v>0</x:v>
      </x:c>
      <x:c r="R75" s="19" t="str">
        <x:v>active</x:v>
      </x:c>
      <x:c r="S75" s="32" t="str">
        <x:v>2026-03-09</x:v>
      </x:c>
      <x:c r="T75" s="19" t="str">
        <x:v>Mock data generated for demo; not real inventory</x:v>
      </x:c>
    </x:row>
    <x:row r="76" ht="36" customHeight="1">
      <x:c r="A76" s="19" t="n">
        <x:v>75</x:v>
      </x:c>
      <x:c r="B76" s="19" t="str">
        <x:v>TCH-MON-0075</x:v>
      </x:c>
      <x:c r="C76" s="19" t="str">
        <x:v>ASUS TUF VG249Q3A SE</x:v>
      </x:c>
      <x:c r="D76" s="19" t="str">
        <x:v>asus-tuf-vg249q3a-se-075</x:v>
      </x:c>
      <x:c r="E76" s="19" t="str">
        <x:v>Màn hình</x:v>
      </x:c>
      <x:c r="F76" s="19" t="str">
        <x:v>ASUS</x:v>
      </x:c>
      <x:c r="G76" s="24" t="n">
        <x:v>14790000</x:v>
      </x:c>
      <x:c r="H76" s="24" t="n">
        <x:v>15900000</x:v>
      </x:c>
      <x:c r="I76" s="26" t="n">
        <x:v>7</x:v>
      </x:c>
      <x:c r="J76" s="28" t="n">
        <x:v>54</x:v>
      </x:c>
      <x:c r="K76" s="30" t="n">
        <x:v>3.9</x:v>
      </x:c>
      <x:c r="L76" s="28" t="n">
        <x:v>230</x:v>
      </x:c>
      <x:c r="M76" s="28" t="n">
        <x:v>24</x:v>
      </x:c>
      <x:c r="N76" s="19" t="str">
        <x:v>https://placehold.co/600x600?text=MON+075</x:v>
      </x:c>
      <x:c r="O76" s="19" t="str">
        <x:v>ASUS TUF VG249Q3A SE thuộc nhóm màn hình, phù hợp cho nhu cầu học tập, làm việc và giải trí trong website demo bán hàng công nghệ.</x:v>
      </x:c>
      <x:c r="P76" s="19" t="str">
        <x:v>{"size": "24 inch", "resolution": "FHD", "refresh_rate": "75Hz"}</x:v>
      </x:c>
      <x:c r="Q76" s="20" t="b">
        <x:v>0</x:v>
      </x:c>
      <x:c r="R76" s="19" t="str">
        <x:v>active</x:v>
      </x:c>
      <x:c r="S76" s="32" t="str">
        <x:v>2026-02-12</x:v>
      </x:c>
      <x:c r="T76" s="19" t="str">
        <x:v>Mock data generated for demo; not real inventory</x:v>
      </x:c>
    </x:row>
    <x:row r="77" ht="36" customHeight="1">
      <x:c r="A77" s="19" t="n">
        <x:v>76</x:v>
      </x:c>
      <x:c r="B77" s="19" t="str">
        <x:v>TCH-MON-0076</x:v>
      </x:c>
      <x:c r="C77" s="19" t="str">
        <x:v>MSI G274F SE</x:v>
      </x:c>
      <x:c r="D77" s="19" t="str">
        <x:v>msi-g274f-se-076</x:v>
      </x:c>
      <x:c r="E77" s="19" t="str">
        <x:v>Màn hình</x:v>
      </x:c>
      <x:c r="F77" s="19" t="str">
        <x:v>MSI</x:v>
      </x:c>
      <x:c r="G77" s="24" t="n">
        <x:v>8290000</x:v>
      </x:c>
      <x:c r="H77" s="24" t="n">
        <x:v>9210000</x:v>
      </x:c>
      <x:c r="I77" s="26" t="n">
        <x:v>10</x:v>
      </x:c>
      <x:c r="J77" s="28" t="n">
        <x:v>56</x:v>
      </x:c>
      <x:c r="K77" s="30" t="n">
        <x:v>3.9</x:v>
      </x:c>
      <x:c r="L77" s="28" t="n">
        <x:v>705</x:v>
      </x:c>
      <x:c r="M77" s="28" t="n">
        <x:v>36</x:v>
      </x:c>
      <x:c r="N77" s="19" t="str">
        <x:v>https://placehold.co/600x600?text=MON+076</x:v>
      </x:c>
      <x:c r="O77" s="19" t="str">
        <x:v>MSI G274F SE thuộc nhóm màn hình, phù hợp cho nhu cầu học tập, làm việc và giải trí trong website demo bán hàng công nghệ.</x:v>
      </x:c>
      <x:c r="P77" s="19" t="str">
        <x:v>{"size": "27 inch", "resolution": "4K", "refresh_rate": "180Hz"}</x:v>
      </x:c>
      <x:c r="Q77" s="20" t="b">
        <x:v>0</x:v>
      </x:c>
      <x:c r="R77" s="19" t="str">
        <x:v>active</x:v>
      </x:c>
      <x:c r="S77" s="32" t="str">
        <x:v>2026-04-23</x:v>
      </x:c>
      <x:c r="T77" s="19" t="str">
        <x:v>Mock data generated for demo; not real inventory</x:v>
      </x:c>
    </x:row>
    <x:row r="78" ht="36" customHeight="1">
      <x:c r="A78" s="19" t="n">
        <x:v>77</x:v>
      </x:c>
      <x:c r="B78" s="19" t="str">
        <x:v>TCH-WAT-0077</x:v>
      </x:c>
      <x:c r="C78" s="19" t="str">
        <x:v>Apple Watch SE 2</x:v>
      </x:c>
      <x:c r="D78" s="19" t="str">
        <x:v>apple-watch-se-2-077</x:v>
      </x:c>
      <x:c r="E78" s="19" t="str">
        <x:v>Smartwatch</x:v>
      </x:c>
      <x:c r="F78" s="19" t="str">
        <x:v>Apple</x:v>
      </x:c>
      <x:c r="G78" s="24" t="n">
        <x:v>1790000</x:v>
      </x:c>
      <x:c r="H78" s="24" t="n">
        <x:v>2110000</x:v>
      </x:c>
      <x:c r="I78" s="26" t="n">
        <x:v>15</x:v>
      </x:c>
      <x:c r="J78" s="28" t="n">
        <x:v>94</x:v>
      </x:c>
      <x:c r="K78" s="30" t="n">
        <x:v>4.2</x:v>
      </x:c>
      <x:c r="L78" s="28" t="n">
        <x:v>256</x:v>
      </x:c>
      <x:c r="M78" s="28" t="n">
        <x:v>12</x:v>
      </x:c>
      <x:c r="N78" s="19" t="str">
        <x:v>https://placehold.co/600x600?text=WAT+077</x:v>
      </x:c>
      <x:c r="O78" s="19" t="str">
        <x:v>Apple Watch SE 2 thuộc nhóm smartwatch, phù hợp cho nhu cầu học tập, làm việc và giải trí trong website demo bán hàng công nghệ.</x:v>
      </x:c>
      <x:c r="P78" s="19" t="str">
        <x:v>{"screen": "LCD", "battery": "14 ngày", "gps": "Có"}</x:v>
      </x:c>
      <x:c r="Q78" s="20" t="b">
        <x:v>1</x:v>
      </x:c>
      <x:c r="R78" s="19" t="str">
        <x:v>active</x:v>
      </x:c>
      <x:c r="S78" s="32" t="str">
        <x:v>2026-03-10</x:v>
      </x:c>
      <x:c r="T78" s="19" t="str">
        <x:v>Mock data generated for demo; not real inventory</x:v>
      </x:c>
    </x:row>
    <x:row r="79" ht="36" customHeight="1">
      <x:c r="A79" s="19" t="n">
        <x:v>78</x:v>
      </x:c>
      <x:c r="B79" s="19" t="str">
        <x:v>TCH-WAT-0078</x:v>
      </x:c>
      <x:c r="C79" s="19" t="str">
        <x:v>Samsung Galaxy Watch7 Max</x:v>
      </x:c>
      <x:c r="D79" s="19" t="str">
        <x:v>samsung-galaxy-watch7-max-078</x:v>
      </x:c>
      <x:c r="E79" s="19" t="str">
        <x:v>Smartwatch</x:v>
      </x:c>
      <x:c r="F79" s="19" t="str">
        <x:v>Samsung</x:v>
      </x:c>
      <x:c r="G79" s="24" t="n">
        <x:v>1790000</x:v>
      </x:c>
      <x:c r="H79" s="24" t="n">
        <x:v>1880000</x:v>
      </x:c>
      <x:c r="I79" s="26" t="n">
        <x:v>5</x:v>
      </x:c>
      <x:c r="J79" s="28" t="n">
        <x:v>60</x:v>
      </x:c>
      <x:c r="K79" s="30" t="n">
        <x:v>4.4</x:v>
      </x:c>
      <x:c r="L79" s="28" t="n">
        <x:v>452</x:v>
      </x:c>
      <x:c r="M79" s="28" t="n">
        <x:v>24</x:v>
      </x:c>
      <x:c r="N79" s="19" t="str">
        <x:v>https://placehold.co/600x600?text=WAT+078</x:v>
      </x:c>
      <x:c r="O79" s="19" t="str">
        <x:v>Samsung Galaxy Watch7 Max thuộc nhóm smartwatch, phù hợp cho nhu cầu học tập, làm việc và giải trí trong website demo bán hàng công nghệ.</x:v>
      </x:c>
      <x:c r="P79" s="19" t="str">
        <x:v>{"screen": "LCD", "battery": "7 ngày", "gps": "Không"}</x:v>
      </x:c>
      <x:c r="Q79" s="20" t="b">
        <x:v>0</x:v>
      </x:c>
      <x:c r="R79" s="19" t="str">
        <x:v>active</x:v>
      </x:c>
      <x:c r="S79" s="32" t="str">
        <x:v>2026-01-24</x:v>
      </x:c>
      <x:c r="T79" s="19" t="str">
        <x:v>Mock data generated for demo; not real inventory</x:v>
      </x:c>
    </x:row>
    <x:row r="80" ht="36" customHeight="1">
      <x:c r="A80" s="19" t="n">
        <x:v>79</x:v>
      </x:c>
      <x:c r="B80" s="19" t="str">
        <x:v>TCH-WAT-0079</x:v>
      </x:c>
      <x:c r="C80" s="19" t="str">
        <x:v>Xiaomi Watch S3 Pro</x:v>
      </x:c>
      <x:c r="D80" s="19" t="str">
        <x:v>xiaomi-watch-s3-pro-079</x:v>
      </x:c>
      <x:c r="E80" s="19" t="str">
        <x:v>Smartwatch</x:v>
      </x:c>
      <x:c r="F80" s="19" t="str">
        <x:v>Xiaomi</x:v>
      </x:c>
      <x:c r="G80" s="24" t="n">
        <x:v>8090000</x:v>
      </x:c>
      <x:c r="H80" s="24" t="n">
        <x:v>9520000</x:v>
      </x:c>
      <x:c r="I80" s="26" t="n">
        <x:v>15</x:v>
      </x:c>
      <x:c r="J80" s="28" t="n">
        <x:v>42</x:v>
      </x:c>
      <x:c r="K80" s="30" t="n">
        <x:v>4.2</x:v>
      </x:c>
      <x:c r="L80" s="28" t="n">
        <x:v>107</x:v>
      </x:c>
      <x:c r="M80" s="28" t="n">
        <x:v>12</x:v>
      </x:c>
      <x:c r="N80" s="19" t="str">
        <x:v>https://placehold.co/600x600?text=WAT+079</x:v>
      </x:c>
      <x:c r="O80" s="19" t="str">
        <x:v>Xiaomi Watch S3 Pro thuộc nhóm smartwatch, phù hợp cho nhu cầu học tập, làm việc và giải trí trong website demo bán hàng công nghệ.</x:v>
      </x:c>
      <x:c r="P80" s="19" t="str">
        <x:v>{"screen": "LCD", "battery": "7 ngày", "gps": "Không"}</x:v>
      </x:c>
      <x:c r="Q80" s="20" t="b">
        <x:v>0</x:v>
      </x:c>
      <x:c r="R80" s="19" t="str">
        <x:v>active</x:v>
      </x:c>
      <x:c r="S80" s="32" t="str">
        <x:v>2026-04-13</x:v>
      </x:c>
      <x:c r="T80" s="19" t="str">
        <x:v>Mock data generated for demo; not real inventory</x:v>
      </x:c>
    </x:row>
    <x:row r="81" ht="36" customHeight="1">
      <x:c r="A81" s="19" t="n">
        <x:v>80</x:v>
      </x:c>
      <x:c r="B81" s="19" t="str">
        <x:v>TCH-WAT-0080</x:v>
      </x:c>
      <x:c r="C81" s="19" t="str">
        <x:v>Huawei Watch Fit 3 SE</x:v>
      </x:c>
      <x:c r="D81" s="19" t="str">
        <x:v>huawei-watch-fit-3-se-080</x:v>
      </x:c>
      <x:c r="E81" s="19" t="str">
        <x:v>Smartwatch</x:v>
      </x:c>
      <x:c r="F81" s="19" t="str">
        <x:v>Huawei</x:v>
      </x:c>
      <x:c r="G81" s="24" t="n">
        <x:v>12190000</x:v>
      </x:c>
      <x:c r="H81" s="24" t="n">
        <x:v>12190000</x:v>
      </x:c>
      <x:c r="I81" s="26" t="n">
        <x:v>0</x:v>
      </x:c>
      <x:c r="J81" s="28" t="n">
        <x:v>58</x:v>
      </x:c>
      <x:c r="K81" s="30" t="n">
        <x:v>3.9</x:v>
      </x:c>
      <x:c r="L81" s="28" t="n">
        <x:v>258</x:v>
      </x:c>
      <x:c r="M81" s="28" t="n">
        <x:v>24</x:v>
      </x:c>
      <x:c r="N81" s="19" t="str">
        <x:v>https://placehold.co/600x600?text=WAT+080</x:v>
      </x:c>
      <x:c r="O81" s="19" t="str">
        <x:v>Huawei Watch Fit 3 SE thuộc nhóm smartwatch, phù hợp cho nhu cầu học tập, làm việc và giải trí trong website demo bán hàng công nghệ.</x:v>
      </x:c>
      <x:c r="P81" s="19" t="str">
        <x:v>{"screen": "Retina", "battery": "14 ngày", "gps": "Có"}</x:v>
      </x:c>
      <x:c r="Q81" s="20" t="b">
        <x:v>1</x:v>
      </x:c>
      <x:c r="R81" s="19" t="str">
        <x:v>active</x:v>
      </x:c>
      <x:c r="S81" s="32" t="str">
        <x:v>2026-05-19</x:v>
      </x:c>
      <x:c r="T81" s="19" t="str">
        <x:v>Mock data generated for demo; not real inventory</x:v>
      </x:c>
    </x:row>
    <x:row r="82" ht="36" customHeight="1">
      <x:c r="A82" s="19" t="n">
        <x:v>81</x:v>
      </x:c>
      <x:c r="B82" s="19" t="str">
        <x:v>TCH-WAT-0081</x:v>
      </x:c>
      <x:c r="C82" s="19" t="str">
        <x:v>Garmin Forerunner 165 Pro</x:v>
      </x:c>
      <x:c r="D82" s="19" t="str">
        <x:v>garmin-forerunner-165-pro-081</x:v>
      </x:c>
      <x:c r="E82" s="19" t="str">
        <x:v>Smartwatch</x:v>
      </x:c>
      <x:c r="F82" s="19" t="str">
        <x:v>Garmin</x:v>
      </x:c>
      <x:c r="G82" s="24" t="n">
        <x:v>9390000</x:v>
      </x:c>
      <x:c r="H82" s="24" t="n">
        <x:v>9390000</x:v>
      </x:c>
      <x:c r="I82" s="26" t="n">
        <x:v>0</x:v>
      </x:c>
      <x:c r="J82" s="28" t="n">
        <x:v>24</x:v>
      </x:c>
      <x:c r="K82" s="30" t="n">
        <x:v>4.4</x:v>
      </x:c>
      <x:c r="L82" s="28" t="n">
        <x:v>637</x:v>
      </x:c>
      <x:c r="M82" s="28" t="n">
        <x:v>24</x:v>
      </x:c>
      <x:c r="N82" s="19" t="str">
        <x:v>https://placehold.co/600x600?text=WAT+081</x:v>
      </x:c>
      <x:c r="O82" s="19" t="str">
        <x:v>Garmin Forerunner 165 Pro thuộc nhóm smartwatch, phù hợp cho nhu cầu học tập, làm việc và giải trí trong website demo bán hàng công nghệ.</x:v>
      </x:c>
      <x:c r="P82" s="19" t="str">
        <x:v>{"screen": "AMOLED", "battery": "1 ngày", "gps": "Không"}</x:v>
      </x:c>
      <x:c r="Q82" s="20" t="b">
        <x:v>0</x:v>
      </x:c>
      <x:c r="R82" s="19" t="str">
        <x:v>active</x:v>
      </x:c>
      <x:c r="S82" s="32" t="str">
        <x:v>2026-05-21</x:v>
      </x:c>
      <x:c r="T82" s="19" t="str">
        <x:v>Mock data generated for demo; not real inventory</x:v>
      </x:c>
    </x:row>
    <x:row r="83" ht="36" customHeight="1">
      <x:c r="A83" s="19" t="n">
        <x:v>82</x:v>
      </x:c>
      <x:c r="B83" s="19" t="str">
        <x:v>TCH-WAT-0082</x:v>
      </x:c>
      <x:c r="C83" s="19" t="str">
        <x:v>Amazfit Bip 5 2025</x:v>
      </x:c>
      <x:c r="D83" s="19" t="str">
        <x:v>amazfit-bip-5-2025-082</x:v>
      </x:c>
      <x:c r="E83" s="19" t="str">
        <x:v>Smartwatch</x:v>
      </x:c>
      <x:c r="F83" s="19" t="str">
        <x:v>Amazfit</x:v>
      </x:c>
      <x:c r="G83" s="24" t="n">
        <x:v>6790000</x:v>
      </x:c>
      <x:c r="H83" s="24" t="n">
        <x:v>8490000</x:v>
      </x:c>
      <x:c r="I83" s="26" t="n">
        <x:v>20</x:v>
      </x:c>
      <x:c r="J83" s="28" t="n">
        <x:v>112</x:v>
      </x:c>
      <x:c r="K83" s="30" t="n">
        <x:v>4.6</x:v>
      </x:c>
      <x:c r="L83" s="28" t="n">
        <x:v>124</x:v>
      </x:c>
      <x:c r="M83" s="28" t="n">
        <x:v>12</x:v>
      </x:c>
      <x:c r="N83" s="19" t="str">
        <x:v>https://placehold.co/600x600?text=WAT+082</x:v>
      </x:c>
      <x:c r="O83" s="19" t="str">
        <x:v>Amazfit Bip 5 2025 thuộc nhóm smartwatch, phù hợp cho nhu cầu học tập, làm việc và giải trí trong website demo bán hàng công nghệ.</x:v>
      </x:c>
      <x:c r="P83" s="19" t="str">
        <x:v>{"screen": "LCD", "battery": "1 ngày", "gps": "Có"}</x:v>
      </x:c>
      <x:c r="Q83" s="20" t="b">
        <x:v>0</x:v>
      </x:c>
      <x:c r="R83" s="19" t="str">
        <x:v>active</x:v>
      </x:c>
      <x:c r="S83" s="32" t="str">
        <x:v>2026-03-21</x:v>
      </x:c>
      <x:c r="T83" s="19" t="str">
        <x:v>Mock data generated for demo; not real inventory</x:v>
      </x:c>
    </x:row>
    <x:row r="84" ht="36" customHeight="1">
      <x:c r="A84" s="19" t="n">
        <x:v>83</x:v>
      </x:c>
      <x:c r="B84" s="19" t="str">
        <x:v>TCH-SPK-0083</x:v>
      </x:c>
      <x:c r="C84" s="19" t="str">
        <x:v>JBL Go 4 Max</x:v>
      </x:c>
      <x:c r="D84" s="19" t="str">
        <x:v>jbl-go-4-max-083</x:v>
      </x:c>
      <x:c r="E84" s="19" t="str">
        <x:v>Loa Bluetooth</x:v>
      </x:c>
      <x:c r="F84" s="19" t="str">
        <x:v>JBL</x:v>
      </x:c>
      <x:c r="G84" s="24" t="n">
        <x:v>539000</x:v>
      </x:c>
      <x:c r="H84" s="24" t="n">
        <x:v>630000</x:v>
      </x:c>
      <x:c r="I84" s="26" t="n">
        <x:v>15</x:v>
      </x:c>
      <x:c r="J84" s="28" t="n">
        <x:v>11</x:v>
      </x:c>
      <x:c r="K84" s="30" t="n">
        <x:v>4.1</x:v>
      </x:c>
      <x:c r="L84" s="28" t="n">
        <x:v>116</x:v>
      </x:c>
      <x:c r="M84" s="28" t="n">
        <x:v>24</x:v>
      </x:c>
      <x:c r="N84" s="19" t="str">
        <x:v>https://placehold.co/600x600?text=SPK+083</x:v>
      </x:c>
      <x:c r="O84" s="19" t="str">
        <x:v>JBL Go 4 Max thuộc nhóm loa bluetooth, phù hợp cho nhu cầu học tập, làm việc và giải trí trong website demo bán hàng công nghệ.</x:v>
      </x:c>
      <x:c r="P84" s="19" t="str">
        <x:v>{"power": "10W", "battery": "12 giờ", "waterproof": "Không"}</x:v>
      </x:c>
      <x:c r="Q84" s="20" t="b">
        <x:v>0</x:v>
      </x:c>
      <x:c r="R84" s="19" t="str">
        <x:v>active</x:v>
      </x:c>
      <x:c r="S84" s="32" t="str">
        <x:v>2026-03-16</x:v>
      </x:c>
      <x:c r="T84" s="19" t="str">
        <x:v>Mock data generated for demo; not real inventory</x:v>
      </x:c>
    </x:row>
    <x:row r="85" ht="36" customHeight="1">
      <x:c r="A85" s="19" t="n">
        <x:v>84</x:v>
      </x:c>
      <x:c r="B85" s="19" t="str">
        <x:v>TCH-SPK-0084</x:v>
      </x:c>
      <x:c r="C85" s="19" t="str">
        <x:v>Sony SRS-XB100 Max</x:v>
      </x:c>
      <x:c r="D85" s="19" t="str">
        <x:v>sony-srs-xb100-max-084</x:v>
      </x:c>
      <x:c r="E85" s="19" t="str">
        <x:v>Loa Bluetooth</x:v>
      </x:c>
      <x:c r="F85" s="19" t="str">
        <x:v>Sony</x:v>
      </x:c>
      <x:c r="G85" s="24" t="n">
        <x:v>7690000</x:v>
      </x:c>
      <x:c r="H85" s="24" t="n">
        <x:v>8540000</x:v>
      </x:c>
      <x:c r="I85" s="26" t="n">
        <x:v>10</x:v>
      </x:c>
      <x:c r="J85" s="28" t="n">
        <x:v>53</x:v>
      </x:c>
      <x:c r="K85" s="30" t="n">
        <x:v>4.8</x:v>
      </x:c>
      <x:c r="L85" s="28" t="n">
        <x:v>483</x:v>
      </x:c>
      <x:c r="M85" s="28" t="n">
        <x:v>12</x:v>
      </x:c>
      <x:c r="N85" s="19" t="str">
        <x:v>https://placehold.co/600x600?text=SPK+084</x:v>
      </x:c>
      <x:c r="O85" s="19" t="str">
        <x:v>Sony SRS-XB100 Max thuộc nhóm loa bluetooth, phù hợp cho nhu cầu học tập, làm việc và giải trí trong website demo bán hàng công nghệ.</x:v>
      </x:c>
      <x:c r="P85" s="19" t="str">
        <x:v>{"power": "10W", "battery": "12 giờ", "waterproof": "IPX4"}</x:v>
      </x:c>
      <x:c r="Q85" s="20" t="b">
        <x:v>0</x:v>
      </x:c>
      <x:c r="R85" s="19" t="str">
        <x:v>active</x:v>
      </x:c>
      <x:c r="S85" s="32" t="str">
        <x:v>2026-05-11</x:v>
      </x:c>
      <x:c r="T85" s="19" t="str">
        <x:v>Mock data generated for demo; not real inventory</x:v>
      </x:c>
    </x:row>
    <x:row r="86" ht="36" customHeight="1">
      <x:c r="A86" s="19" t="n">
        <x:v>85</x:v>
      </x:c>
      <x:c r="B86" s="19" t="str">
        <x:v>TCH-SPK-0085</x:v>
      </x:c>
      <x:c r="C86" s="19" t="str">
        <x:v>Marshall Emberton II Lite</x:v>
      </x:c>
      <x:c r="D86" s="19" t="str">
        <x:v>marshall-emberton-ii-lite-085</x:v>
      </x:c>
      <x:c r="E86" s="19" t="str">
        <x:v>Loa Bluetooth</x:v>
      </x:c>
      <x:c r="F86" s="19" t="str">
        <x:v>Marshall</x:v>
      </x:c>
      <x:c r="G86" s="24" t="n">
        <x:v>1790000</x:v>
      </x:c>
      <x:c r="H86" s="24" t="n">
        <x:v>1790000</x:v>
      </x:c>
      <x:c r="I86" s="26" t="n">
        <x:v>0</x:v>
      </x:c>
      <x:c r="J86" s="28" t="n">
        <x:v>35</x:v>
      </x:c>
      <x:c r="K86" s="30" t="n">
        <x:v>4.7</x:v>
      </x:c>
      <x:c r="L86" s="28" t="n">
        <x:v>424</x:v>
      </x:c>
      <x:c r="M86" s="28" t="n">
        <x:v>24</x:v>
      </x:c>
      <x:c r="N86" s="19" t="str">
        <x:v>https://placehold.co/600x600?text=SPK+085</x:v>
      </x:c>
      <x:c r="O86" s="19" t="str">
        <x:v>Marshall Emberton II Lite thuộc nhóm loa bluetooth, phù hợp cho nhu cầu học tập, làm việc và giải trí trong website demo bán hàng công nghệ.</x:v>
      </x:c>
      <x:c r="P86" s="19" t="str">
        <x:v>{"power": "20W", "battery": "8 giờ", "waterproof": "IPX7"}</x:v>
      </x:c>
      <x:c r="Q86" s="20" t="b">
        <x:v>0</x:v>
      </x:c>
      <x:c r="R86" s="19" t="str">
        <x:v>active</x:v>
      </x:c>
      <x:c r="S86" s="32" t="str">
        <x:v>2026-03-18</x:v>
      </x:c>
      <x:c r="T86" s="19" t="str">
        <x:v>Mock data generated for demo; not real inventory</x:v>
      </x:c>
    </x:row>
    <x:row r="87" ht="36" customHeight="1">
      <x:c r="A87" s="19" t="n">
        <x:v>86</x:v>
      </x:c>
      <x:c r="B87" s="19" t="str">
        <x:v>TCH-SPK-0086</x:v>
      </x:c>
      <x:c r="C87" s="19" t="str">
        <x:v>Anker Soundcore 3 SE</x:v>
      </x:c>
      <x:c r="D87" s="19" t="str">
        <x:v>anker-soundcore-3-se-086</x:v>
      </x:c>
      <x:c r="E87" s="19" t="str">
        <x:v>Loa Bluetooth</x:v>
      </x:c>
      <x:c r="F87" s="19" t="str">
        <x:v>Anker</x:v>
      </x:c>
      <x:c r="G87" s="24" t="n">
        <x:v>6490000</x:v>
      </x:c>
      <x:c r="H87" s="24" t="n">
        <x:v>8110000</x:v>
      </x:c>
      <x:c r="I87" s="26" t="n">
        <x:v>20</x:v>
      </x:c>
      <x:c r="J87" s="28" t="n">
        <x:v>110</x:v>
      </x:c>
      <x:c r="K87" s="30" t="n">
        <x:v>4</x:v>
      </x:c>
      <x:c r="L87" s="28" t="n">
        <x:v>551</x:v>
      </x:c>
      <x:c r="M87" s="28" t="n">
        <x:v>24</x:v>
      </x:c>
      <x:c r="N87" s="19" t="str">
        <x:v>https://placehold.co/600x600?text=SPK+086</x:v>
      </x:c>
      <x:c r="O87" s="19" t="str">
        <x:v>Anker Soundcore 3 SE thuộc nhóm loa bluetooth, phù hợp cho nhu cầu học tập, làm việc và giải trí trong website demo bán hàng công nghệ.</x:v>
      </x:c>
      <x:c r="P87" s="19" t="str">
        <x:v>{"power": "50W", "battery": "12 giờ", "waterproof": "IPX7"}</x:v>
      </x:c>
      <x:c r="Q87" s="20" t="b">
        <x:v>0</x:v>
      </x:c>
      <x:c r="R87" s="19" t="str">
        <x:v>active</x:v>
      </x:c>
      <x:c r="S87" s="32" t="str">
        <x:v>2026-02-18</x:v>
      </x:c>
      <x:c r="T87" s="19" t="str">
        <x:v>Mock data generated for demo; not real inventory</x:v>
      </x:c>
    </x:row>
    <x:row r="88" ht="36" customHeight="1">
      <x:c r="A88" s="19" t="n">
        <x:v>87</x:v>
      </x:c>
      <x:c r="B88" s="19" t="str">
        <x:v>TCH-SSD-0087</x:v>
      </x:c>
      <x:c r="C88" s="19" t="str">
        <x:v>Samsung 980 NVMe Lite</x:v>
      </x:c>
      <x:c r="D88" s="19" t="str">
        <x:v>samsung-980-nvme-lite-087</x:v>
      </x:c>
      <x:c r="E88" s="19" t="str">
        <x:v>Ổ cứng SSD</x:v>
      </x:c>
      <x:c r="F88" s="19" t="str">
        <x:v>Samsung</x:v>
      </x:c>
      <x:c r="G88" s="24" t="n">
        <x:v>3090000</x:v>
      </x:c>
      <x:c r="H88" s="24" t="n">
        <x:v>3640000</x:v>
      </x:c>
      <x:c r="I88" s="26" t="n">
        <x:v>15</x:v>
      </x:c>
      <x:c r="J88" s="28" t="n">
        <x:v>29</x:v>
      </x:c>
      <x:c r="K88" s="30" t="n">
        <x:v>4.8</x:v>
      </x:c>
      <x:c r="L88" s="28" t="n">
        <x:v>420</x:v>
      </x:c>
      <x:c r="M88" s="28" t="n">
        <x:v>36</x:v>
      </x:c>
      <x:c r="N88" s="19" t="str">
        <x:v>https://placehold.co/600x600?text=SSD+087</x:v>
      </x:c>
      <x:c r="O88" s="19" t="str">
        <x:v>Samsung 980 NVMe Lite thuộc nhóm ổ cứng ssd, phù hợp cho nhu cầu học tập, làm việc và giải trí trong website demo bán hàng công nghệ.</x:v>
      </x:c>
      <x:c r="P88" s="19" t="str">
        <x:v>{"capacity": "1TB", "interface": "SATA III", "speed": "5000MB/s"}</x:v>
      </x:c>
      <x:c r="Q88" s="20" t="b">
        <x:v>0</x:v>
      </x:c>
      <x:c r="R88" s="19" t="str">
        <x:v>active</x:v>
      </x:c>
      <x:c r="S88" s="32" t="str">
        <x:v>2026-04-09</x:v>
      </x:c>
      <x:c r="T88" s="19" t="str">
        <x:v>Mock data generated for demo; not real inventory</x:v>
      </x:c>
    </x:row>
    <x:row r="89" ht="36" customHeight="1">
      <x:c r="A89" s="19" t="n">
        <x:v>88</x:v>
      </x:c>
      <x:c r="B89" s="19" t="str">
        <x:v>TCH-SSD-0088</x:v>
      </x:c>
      <x:c r="C89" s="19" t="str">
        <x:v>Kingston NV2 PCIe 4.0 Lite</x:v>
      </x:c>
      <x:c r="D89" s="19" t="str">
        <x:v>kingston-nv2-pcie-4-0-lite-088</x:v>
      </x:c>
      <x:c r="E89" s="19" t="str">
        <x:v>Ổ cứng SSD</x:v>
      </x:c>
      <x:c r="F89" s="19" t="str">
        <x:v>Kingston</x:v>
      </x:c>
      <x:c r="G89" s="24" t="n">
        <x:v>2190000</x:v>
      </x:c>
      <x:c r="H89" s="24" t="n">
        <x:v>2740000</x:v>
      </x:c>
      <x:c r="I89" s="26" t="n">
        <x:v>20</x:v>
      </x:c>
      <x:c r="J89" s="28" t="n">
        <x:v>4</x:v>
      </x:c>
      <x:c r="K89" s="30" t="n">
        <x:v>4</x:v>
      </x:c>
      <x:c r="L89" s="28" t="n">
        <x:v>604</x:v>
      </x:c>
      <x:c r="M89" s="28" t="n">
        <x:v>60</x:v>
      </x:c>
      <x:c r="N89" s="19" t="str">
        <x:v>https://placehold.co/600x600?text=SSD+088</x:v>
      </x:c>
      <x:c r="O89" s="19" t="str">
        <x:v>Kingston NV2 PCIe 4.0 Lite thuộc nhóm ổ cứng ssd, phù hợp cho nhu cầu học tập, làm việc và giải trí trong website demo bán hàng công nghệ.</x:v>
      </x:c>
      <x:c r="P89" s="19" t="str">
        <x:v>{"capacity": "1TB", "interface": "NVMe PCIe 3.0", "speed": "7000MB/s"}</x:v>
      </x:c>
      <x:c r="Q89" s="20" t="b">
        <x:v>0</x:v>
      </x:c>
      <x:c r="R89" s="19" t="str">
        <x:v>active</x:v>
      </x:c>
      <x:c r="S89" s="32" t="str">
        <x:v>2026-04-27</x:v>
      </x:c>
      <x:c r="T89" s="19" t="str">
        <x:v>Mock data generated for demo; not real inventory</x:v>
      </x:c>
    </x:row>
    <x:row r="90" ht="36" customHeight="1">
      <x:c r="A90" s="19" t="n">
        <x:v>89</x:v>
      </x:c>
      <x:c r="B90" s="19" t="str">
        <x:v>TCH-SSD-0089</x:v>
      </x:c>
      <x:c r="C90" s="19" t="str">
        <x:v>WD Blue SN580</x:v>
      </x:c>
      <x:c r="D90" s="19" t="str">
        <x:v>wd-blue-sn580-089</x:v>
      </x:c>
      <x:c r="E90" s="19" t="str">
        <x:v>Ổ cứng SSD</x:v>
      </x:c>
      <x:c r="F90" s="19" t="str">
        <x:v>WD</x:v>
      </x:c>
      <x:c r="G90" s="24" t="n">
        <x:v>2090000</x:v>
      </x:c>
      <x:c r="H90" s="24" t="n">
        <x:v>2460000</x:v>
      </x:c>
      <x:c r="I90" s="26" t="n">
        <x:v>15</x:v>
      </x:c>
      <x:c r="J90" s="28" t="n">
        <x:v>111</x:v>
      </x:c>
      <x:c r="K90" s="30" t="n">
        <x:v>4.6</x:v>
      </x:c>
      <x:c r="L90" s="28" t="n">
        <x:v>158</x:v>
      </x:c>
      <x:c r="M90" s="28" t="n">
        <x:v>36</x:v>
      </x:c>
      <x:c r="N90" s="19" t="str">
        <x:v>https://placehold.co/600x600?text=SSD+089</x:v>
      </x:c>
      <x:c r="O90" s="19" t="str">
        <x:v>WD Blue SN580 thuộc nhóm ổ cứng ssd, phù hợp cho nhu cầu học tập, làm việc và giải trí trong website demo bán hàng công nghệ.</x:v>
      </x:c>
      <x:c r="P90" s="19" t="str">
        <x:v>{"capacity": "1TB", "interface": "NVMe PCIe 4.0", "speed": "7000MB/s"}</x:v>
      </x:c>
      <x:c r="Q90" s="20" t="b">
        <x:v>0</x:v>
      </x:c>
      <x:c r="R90" s="19" t="str">
        <x:v>active</x:v>
      </x:c>
      <x:c r="S90" s="32" t="str">
        <x:v>2026-04-12</x:v>
      </x:c>
      <x:c r="T90" s="19" t="str">
        <x:v>Mock data generated for demo; not real inventory</x:v>
      </x:c>
    </x:row>
    <x:row r="91" ht="36" customHeight="1">
      <x:c r="A91" s="19" t="n">
        <x:v>90</x:v>
      </x:c>
      <x:c r="B91" s="19" t="str">
        <x:v>TCH-SSD-0090</x:v>
      </x:c>
      <x:c r="C91" s="19" t="str">
        <x:v>Crucial P3 Plus Lite</x:v>
      </x:c>
      <x:c r="D91" s="19" t="str">
        <x:v>crucial-p3-plus-lite-090</x:v>
      </x:c>
      <x:c r="E91" s="19" t="str">
        <x:v>Ổ cứng SSD</x:v>
      </x:c>
      <x:c r="F91" s="19" t="str">
        <x:v>Crucial</x:v>
      </x:c>
      <x:c r="G91" s="24" t="n">
        <x:v>1490000</x:v>
      </x:c>
      <x:c r="H91" s="24" t="n">
        <x:v>1690000</x:v>
      </x:c>
      <x:c r="I91" s="26" t="n">
        <x:v>12</x:v>
      </x:c>
      <x:c r="J91" s="28" t="n">
        <x:v>109</x:v>
      </x:c>
      <x:c r="K91" s="30" t="n">
        <x:v>4.6</x:v>
      </x:c>
      <x:c r="L91" s="28" t="n">
        <x:v>546</x:v>
      </x:c>
      <x:c r="M91" s="28" t="n">
        <x:v>60</x:v>
      </x:c>
      <x:c r="N91" s="19" t="str">
        <x:v>https://placehold.co/600x600?text=SSD+090</x:v>
      </x:c>
      <x:c r="O91" s="19" t="str">
        <x:v>Crucial P3 Plus Lite thuộc nhóm ổ cứng ssd, phù hợp cho nhu cầu học tập, làm việc và giải trí trong website demo bán hàng công nghệ.</x:v>
      </x:c>
      <x:c r="P91" s="19" t="str">
        <x:v>{"capacity": "2TB", "interface": "SATA III", "speed": "5000MB/s"}</x:v>
      </x:c>
      <x:c r="Q91" s="20" t="b">
        <x:v>0</x:v>
      </x:c>
      <x:c r="R91" s="19" t="str">
        <x:v>active</x:v>
      </x:c>
      <x:c r="S91" s="32" t="str">
        <x:v>2026-05-19</x:v>
      </x:c>
      <x:c r="T91" s="19" t="str">
        <x:v>Mock data generated for demo; not real inventory</x:v>
      </x:c>
    </x:row>
    <x:row r="92" ht="36" customHeight="1">
      <x:c r="A92" s="19" t="n">
        <x:v>91</x:v>
      </x:c>
      <x:c r="B92" s="19" t="str">
        <x:v>TCH-RAM-0091</x:v>
      </x:c>
      <x:c r="C92" s="19" t="str">
        <x:v>Kingston Fury Beast 16GB</x:v>
      </x:c>
      <x:c r="D92" s="19" t="str">
        <x:v>kingston-fury-beast-16gb-091</x:v>
      </x:c>
      <x:c r="E92" s="19" t="str">
        <x:v>RAM máy tính</x:v>
      </x:c>
      <x:c r="F92" s="19" t="str">
        <x:v>Kingston</x:v>
      </x:c>
      <x:c r="G92" s="24" t="n">
        <x:v>749000</x:v>
      </x:c>
      <x:c r="H92" s="24" t="n">
        <x:v>810000</x:v>
      </x:c>
      <x:c r="I92" s="26" t="n">
        <x:v>7</x:v>
      </x:c>
      <x:c r="J92" s="28" t="n">
        <x:v>80</x:v>
      </x:c>
      <x:c r="K92" s="30" t="n">
        <x:v>4.6</x:v>
      </x:c>
      <x:c r="L92" s="28" t="n">
        <x:v>294</x:v>
      </x:c>
      <x:c r="M92" s="28" t="n">
        <x:v>36</x:v>
      </x:c>
      <x:c r="N92" s="19" t="str">
        <x:v>https://placehold.co/600x600?text=RAM+091</x:v>
      </x:c>
      <x:c r="O92" s="19" t="str">
        <x:v>Kingston Fury Beast 16GB thuộc nhóm ram máy tính, phù hợp cho nhu cầu học tập, làm việc và giải trí trong website demo bán hàng công nghệ.</x:v>
      </x:c>
      <x:c r="P92" s="19" t="str">
        <x:v>{"capacity": "16GB", "type": "DDR4", "bus": "6000MHz"}</x:v>
      </x:c>
      <x:c r="Q92" s="20" t="b">
        <x:v>0</x:v>
      </x:c>
      <x:c r="R92" s="19" t="str">
        <x:v>active</x:v>
      </x:c>
      <x:c r="S92" s="32" t="str">
        <x:v>2026-01-26</x:v>
      </x:c>
      <x:c r="T92" s="19" t="str">
        <x:v>Mock data generated for demo; not real inventory</x:v>
      </x:c>
    </x:row>
    <x:row r="93" ht="36" customHeight="1">
      <x:c r="A93" s="19" t="n">
        <x:v>92</x:v>
      </x:c>
      <x:c r="B93" s="19" t="str">
        <x:v>TCH-RAM-0092</x:v>
      </x:c>
      <x:c r="C93" s="19" t="str">
        <x:v>Corsair Vengeance LPX 16GB Pro</x:v>
      </x:c>
      <x:c r="D93" s="19" t="str">
        <x:v>corsair-vengeance-lpx-16gb-pro-092</x:v>
      </x:c>
      <x:c r="E93" s="19" t="str">
        <x:v>RAM máy tính</x:v>
      </x:c>
      <x:c r="F93" s="19" t="str">
        <x:v>Corsair</x:v>
      </x:c>
      <x:c r="G93" s="24" t="n">
        <x:v>1290000</x:v>
      </x:c>
      <x:c r="H93" s="24" t="n">
        <x:v>1430000</x:v>
      </x:c>
      <x:c r="I93" s="26" t="n">
        <x:v>10</x:v>
      </x:c>
      <x:c r="J93" s="28" t="n">
        <x:v>115</x:v>
      </x:c>
      <x:c r="K93" s="30" t="n">
        <x:v>3.8</x:v>
      </x:c>
      <x:c r="L93" s="28" t="n">
        <x:v>332</x:v>
      </x:c>
      <x:c r="M93" s="28" t="n">
        <x:v>36</x:v>
      </x:c>
      <x:c r="N93" s="19" t="str">
        <x:v>https://placehold.co/600x600?text=RAM+092</x:v>
      </x:c>
      <x:c r="O93" s="19" t="str">
        <x:v>Corsair Vengeance LPX 16GB Pro thuộc nhóm ram máy tính, phù hợp cho nhu cầu học tập, làm việc và giải trí trong website demo bán hàng công nghệ.</x:v>
      </x:c>
      <x:c r="P93" s="19" t="str">
        <x:v>{"capacity": "16GB", "type": "DDR5", "bus": "3200MHz"}</x:v>
      </x:c>
      <x:c r="Q93" s="20" t="b">
        <x:v>0</x:v>
      </x:c>
      <x:c r="R93" s="19" t="str">
        <x:v>active</x:v>
      </x:c>
      <x:c r="S93" s="32" t="str">
        <x:v>2026-03-04</x:v>
      </x:c>
      <x:c r="T93" s="19" t="str">
        <x:v>Mock data generated for demo; not real inventory</x:v>
      </x:c>
    </x:row>
    <x:row r="94" ht="36" customHeight="1">
      <x:c r="A94" s="19" t="n">
        <x:v>93</x:v>
      </x:c>
      <x:c r="B94" s="19" t="str">
        <x:v>TCH-RAM-0093</x:v>
      </x:c>
      <x:c r="C94" s="19" t="str">
        <x:v>G.Skill Ripjaws V 16GB Max</x:v>
      </x:c>
      <x:c r="D94" s="19" t="str">
        <x:v>g-skill-ripjaws-v-16gb-max-093</x:v>
      </x:c>
      <x:c r="E94" s="19" t="str">
        <x:v>RAM máy tính</x:v>
      </x:c>
      <x:c r="F94" s="19" t="str">
        <x:v>G.Skill</x:v>
      </x:c>
      <x:c r="G94" s="24" t="n">
        <x:v>2490000</x:v>
      </x:c>
      <x:c r="H94" s="24" t="n">
        <x:v>2620000</x:v>
      </x:c>
      <x:c r="I94" s="26" t="n">
        <x:v>5</x:v>
      </x:c>
      <x:c r="J94" s="28" t="n">
        <x:v>21</x:v>
      </x:c>
      <x:c r="K94" s="30" t="n">
        <x:v>4</x:v>
      </x:c>
      <x:c r="L94" s="28" t="n">
        <x:v>624</x:v>
      </x:c>
      <x:c r="M94" s="28" t="n">
        <x:v>60</x:v>
      </x:c>
      <x:c r="N94" s="19" t="str">
        <x:v>https://placehold.co/600x600?text=RAM+093</x:v>
      </x:c>
      <x:c r="O94" s="19" t="str">
        <x:v>G.Skill Ripjaws V 16GB Max thuộc nhóm ram máy tính, phù hợp cho nhu cầu học tập, làm việc và giải trí trong website demo bán hàng công nghệ.</x:v>
      </x:c>
      <x:c r="P94" s="19" t="str">
        <x:v>{"capacity": "8GB", "type": "DDR5", "bus": "6000MHz"}</x:v>
      </x:c>
      <x:c r="Q94" s="20" t="b">
        <x:v>0</x:v>
      </x:c>
      <x:c r="R94" s="19" t="str">
        <x:v>active</x:v>
      </x:c>
      <x:c r="S94" s="32" t="str">
        <x:v>2026-02-06</x:v>
      </x:c>
      <x:c r="T94" s="19" t="str">
        <x:v>Mock data generated for demo; not real inventory</x:v>
      </x:c>
    </x:row>
    <x:row r="95" ht="36" customHeight="1">
      <x:c r="A95" s="19" t="n">
        <x:v>94</x:v>
      </x:c>
      <x:c r="B95" s="19" t="str">
        <x:v>TCH-RAM-0094</x:v>
      </x:c>
      <x:c r="C95" s="19" t="str">
        <x:v>Crucial DDR4 8GB 2025</x:v>
      </x:c>
      <x:c r="D95" s="19" t="str">
        <x:v>crucial-ddr4-8gb-2025-094</x:v>
      </x:c>
      <x:c r="E95" s="19" t="str">
        <x:v>RAM máy tính</x:v>
      </x:c>
      <x:c r="F95" s="19" t="str">
        <x:v>Crucial</x:v>
      </x:c>
      <x:c r="G95" s="24" t="n">
        <x:v>2790000</x:v>
      </x:c>
      <x:c r="H95" s="24" t="n">
        <x:v>3100000</x:v>
      </x:c>
      <x:c r="I95" s="26" t="n">
        <x:v>10</x:v>
      </x:c>
      <x:c r="J95" s="28" t="n">
        <x:v>58</x:v>
      </x:c>
      <x:c r="K95" s="30" t="n">
        <x:v>4.1</x:v>
      </x:c>
      <x:c r="L95" s="28" t="n">
        <x:v>9</x:v>
      </x:c>
      <x:c r="M95" s="28" t="n">
        <x:v>60</x:v>
      </x:c>
      <x:c r="N95" s="19" t="str">
        <x:v>https://placehold.co/600x600?text=RAM+094</x:v>
      </x:c>
      <x:c r="O95" s="19" t="str">
        <x:v>Crucial DDR4 8GB 2025 thuộc nhóm ram máy tính, phù hợp cho nhu cầu học tập, làm việc và giải trí trong website demo bán hàng công nghệ.</x:v>
      </x:c>
      <x:c r="P95" s="19" t="str">
        <x:v>{"capacity": "32GB", "type": "DDR4", "bus": "3200MHz"}</x:v>
      </x:c>
      <x:c r="Q95" s="20" t="b">
        <x:v>0</x:v>
      </x:c>
      <x:c r="R95" s="19" t="str">
        <x:v>active</x:v>
      </x:c>
      <x:c r="S95" s="32" t="str">
        <x:v>2026-04-24</x:v>
      </x:c>
      <x:c r="T95" s="19" t="str">
        <x:v>Mock data generated for demo; not real inventory</x:v>
      </x:c>
    </x:row>
    <x:row r="96" ht="36" customHeight="1">
      <x:c r="A96" s="19" t="n">
        <x:v>95</x:v>
      </x:c>
      <x:c r="B96" s="19" t="str">
        <x:v>TCH-RTR-0095</x:v>
      </x:c>
      <x:c r="C96" s="19" t="str">
        <x:v>TP-Link Archer AX23 Plus</x:v>
      </x:c>
      <x:c r="D96" s="19" t="str">
        <x:v>tp-link-archer-ax23-plus-095</x:v>
      </x:c>
      <x:c r="E96" s="19" t="str">
        <x:v>Router WiFi</x:v>
      </x:c>
      <x:c r="F96" s="19" t="str">
        <x:v>TP-Link</x:v>
      </x:c>
      <x:c r="G96" s="24" t="n">
        <x:v>6390000</x:v>
      </x:c>
      <x:c r="H96" s="24" t="n">
        <x:v>7100000</x:v>
      </x:c>
      <x:c r="I96" s="26" t="n">
        <x:v>10</x:v>
      </x:c>
      <x:c r="J96" s="28" t="n">
        <x:v>81</x:v>
      </x:c>
      <x:c r="K96" s="30" t="n">
        <x:v>5</x:v>
      </x:c>
      <x:c r="L96" s="28" t="n">
        <x:v>706</x:v>
      </x:c>
      <x:c r="M96" s="28" t="n">
        <x:v>36</x:v>
      </x:c>
      <x:c r="N96" s="19" t="str">
        <x:v>https://placehold.co/600x600?text=RTR+095</x:v>
      </x:c>
      <x:c r="O96" s="19" t="str">
        <x:v>TP-Link Archer AX23 Plus thuộc nhóm router wifi, phù hợp cho nhu cầu học tập, làm việc và giải trí trong website demo bán hàng công nghệ.</x:v>
      </x:c>
      <x:c r="P96" s="19" t="str">
        <x:v>{"standard": "WiFi 6", "speed": "AC1200", "antenna": "6 anten"}</x:v>
      </x:c>
      <x:c r="Q96" s="20" t="b">
        <x:v>0</x:v>
      </x:c>
      <x:c r="R96" s="19" t="str">
        <x:v>active</x:v>
      </x:c>
      <x:c r="S96" s="32" t="str">
        <x:v>2026-05-04</x:v>
      </x:c>
      <x:c r="T96" s="19" t="str">
        <x:v>Mock data generated for demo; not real inventory</x:v>
      </x:c>
    </x:row>
    <x:row r="97" ht="36" customHeight="1">
      <x:c r="A97" s="19" t="n">
        <x:v>96</x:v>
      </x:c>
      <x:c r="B97" s="19" t="str">
        <x:v>TCH-RTR-0096</x:v>
      </x:c>
      <x:c r="C97" s="19" t="str">
        <x:v>ASUS RT-AX53U</x:v>
      </x:c>
      <x:c r="D97" s="19" t="str">
        <x:v>asus-rt-ax53u-096</x:v>
      </x:c>
      <x:c r="E97" s="19" t="str">
        <x:v>Router WiFi</x:v>
      </x:c>
      <x:c r="F97" s="19" t="str">
        <x:v>ASUS</x:v>
      </x:c>
      <x:c r="G97" s="24" t="n">
        <x:v>2790000</x:v>
      </x:c>
      <x:c r="H97" s="24" t="n">
        <x:v>3280000</x:v>
      </x:c>
      <x:c r="I97" s="26" t="n">
        <x:v>15</x:v>
      </x:c>
      <x:c r="J97" s="28" t="n">
        <x:v>73</x:v>
      </x:c>
      <x:c r="K97" s="30" t="n">
        <x:v>4.2</x:v>
      </x:c>
      <x:c r="L97" s="28" t="n">
        <x:v>302</x:v>
      </x:c>
      <x:c r="M97" s="28" t="n">
        <x:v>36</x:v>
      </x:c>
      <x:c r="N97" s="19" t="str">
        <x:v>https://placehold.co/600x600?text=RTR+096</x:v>
      </x:c>
      <x:c r="O97" s="19" t="str">
        <x:v>ASUS RT-AX53U thuộc nhóm router wifi, phù hợp cho nhu cầu học tập, làm việc và giải trí trong website demo bán hàng công nghệ.</x:v>
      </x:c>
      <x:c r="P97" s="19" t="str">
        <x:v>{"standard": "WiFi 6E", "speed": "AX1800", "antenna": "6 anten"}</x:v>
      </x:c>
      <x:c r="Q97" s="20" t="b">
        <x:v>1</x:v>
      </x:c>
      <x:c r="R97" s="19" t="str">
        <x:v>active</x:v>
      </x:c>
      <x:c r="S97" s="32" t="str">
        <x:v>2026-01-03</x:v>
      </x:c>
      <x:c r="T97" s="19" t="str">
        <x:v>Mock data generated for demo; not real inventory</x:v>
      </x:c>
    </x:row>
    <x:row r="98" ht="36" customHeight="1">
      <x:c r="A98" s="19" t="n">
        <x:v>97</x:v>
      </x:c>
      <x:c r="B98" s="19" t="str">
        <x:v>TCH-RTR-0097</x:v>
      </x:c>
      <x:c r="C98" s="19" t="str">
        <x:v>Mercusys MR70X Max</x:v>
      </x:c>
      <x:c r="D98" s="19" t="str">
        <x:v>mercusys-mr70x-max-097</x:v>
      </x:c>
      <x:c r="E98" s="19" t="str">
        <x:v>Router WiFi</x:v>
      </x:c>
      <x:c r="F98" s="19" t="str">
        <x:v>Mercusys</x:v>
      </x:c>
      <x:c r="G98" s="24" t="n">
        <x:v>799000</x:v>
      </x:c>
      <x:c r="H98" s="24" t="n">
        <x:v>1000000</x:v>
      </x:c>
      <x:c r="I98" s="26" t="n">
        <x:v>20</x:v>
      </x:c>
      <x:c r="J98" s="28" t="n">
        <x:v>106</x:v>
      </x:c>
      <x:c r="K98" s="30" t="n">
        <x:v>4.9</x:v>
      </x:c>
      <x:c r="L98" s="28" t="n">
        <x:v>293</x:v>
      </x:c>
      <x:c r="M98" s="28" t="n">
        <x:v>24</x:v>
      </x:c>
      <x:c r="N98" s="19" t="str">
        <x:v>https://placehold.co/600x600?text=RTR+097</x:v>
      </x:c>
      <x:c r="O98" s="19" t="str">
        <x:v>Mercusys MR70X Max thuộc nhóm router wifi, phù hợp cho nhu cầu học tập, làm việc và giải trí trong website demo bán hàng công nghệ.</x:v>
      </x:c>
      <x:c r="P98" s="19" t="str">
        <x:v>{"standard": "WiFi 6", "speed": "AC1200", "antenna": "mesh ready"}</x:v>
      </x:c>
      <x:c r="Q98" s="20" t="b">
        <x:v>0</x:v>
      </x:c>
      <x:c r="R98" s="19" t="str">
        <x:v>active</x:v>
      </x:c>
      <x:c r="S98" s="32" t="str">
        <x:v>2026-02-18</x:v>
      </x:c>
      <x:c r="T98" s="19" t="str">
        <x:v>Mock data generated for demo; not real inventory</x:v>
      </x:c>
    </x:row>
    <x:row r="99" ht="36" customHeight="1">
      <x:c r="A99" s="19" t="n">
        <x:v>98</x:v>
      </x:c>
      <x:c r="B99" s="19" t="str">
        <x:v>TCH-CAM-0098</x:v>
      </x:c>
      <x:c r="C99" s="19" t="str">
        <x:v>TP-Link Tapo C200 360 Max</x:v>
      </x:c>
      <x:c r="D99" s="19" t="str">
        <x:v>tp-link-tapo-c200-360-max-098</x:v>
      </x:c>
      <x:c r="E99" s="19" t="str">
        <x:v>Camera</x:v>
      </x:c>
      <x:c r="F99" s="19" t="str">
        <x:v>TP-Link Tapo</x:v>
      </x:c>
      <x:c r="G99" s="24" t="n">
        <x:v>1590000</x:v>
      </x:c>
      <x:c r="H99" s="24" t="n">
        <x:v>1670000</x:v>
      </x:c>
      <x:c r="I99" s="26" t="n">
        <x:v>5</x:v>
      </x:c>
      <x:c r="J99" s="28" t="n">
        <x:v>80</x:v>
      </x:c>
      <x:c r="K99" s="30" t="n">
        <x:v>3.9</x:v>
      </x:c>
      <x:c r="L99" s="28" t="n">
        <x:v>642</x:v>
      </x:c>
      <x:c r="M99" s="28" t="n">
        <x:v>12</x:v>
      </x:c>
      <x:c r="N99" s="19" t="str">
        <x:v>https://placehold.co/600x600?text=CAM+098</x:v>
      </x:c>
      <x:c r="O99" s="19" t="str">
        <x:v>TP-Link Tapo C200 360 Max thuộc nhóm camera, phù hợp cho nhu cầu học tập, làm việc và giải trí trong website demo bán hàng công nghệ.</x:v>
      </x:c>
      <x:c r="P99" s="19" t="str">
        <x:v>{"resolution": "3MP", "rotation": "Cố định", "night_vision": "Có"}</x:v>
      </x:c>
      <x:c r="Q99" s="20" t="b">
        <x:v>0</x:v>
      </x:c>
      <x:c r="R99" s="19" t="str">
        <x:v>active</x:v>
      </x:c>
      <x:c r="S99" s="32" t="str">
        <x:v>2026-05-29</x:v>
      </x:c>
      <x:c r="T99" s="19" t="str">
        <x:v>Mock data generated for demo; not real inventory</x:v>
      </x:c>
    </x:row>
    <x:row r="100" ht="36" customHeight="1">
      <x:c r="A100" s="19" t="n">
        <x:v>99</x:v>
      </x:c>
      <x:c r="B100" s="19" t="str">
        <x:v>TCH-CAM-0099</x:v>
      </x:c>
      <x:c r="C100" s="19" t="str">
        <x:v>Ezviz C6N 2MP Plus</x:v>
      </x:c>
      <x:c r="D100" s="19" t="str">
        <x:v>ezviz-c6n-2mp-plus-099</x:v>
      </x:c>
      <x:c r="E100" s="19" t="str">
        <x:v>Camera</x:v>
      </x:c>
      <x:c r="F100" s="19" t="str">
        <x:v>Ezviz</x:v>
      </x:c>
      <x:c r="G100" s="24" t="n">
        <x:v>969000</x:v>
      </x:c>
      <x:c r="H100" s="24" t="n">
        <x:v>969000</x:v>
      </x:c>
      <x:c r="I100" s="26" t="n">
        <x:v>0</x:v>
      </x:c>
      <x:c r="J100" s="28" t="n">
        <x:v>116</x:v>
      </x:c>
      <x:c r="K100" s="30" t="n">
        <x:v>4.2</x:v>
      </x:c>
      <x:c r="L100" s="28" t="n">
        <x:v>765</x:v>
      </x:c>
      <x:c r="M100" s="28" t="n">
        <x:v>24</x:v>
      </x:c>
      <x:c r="N100" s="19" t="str">
        <x:v>https://placehold.co/600x600?text=CAM+099</x:v>
      </x:c>
      <x:c r="O100" s="19" t="str">
        <x:v>Ezviz C6N 2MP Plus thuộc nhóm camera, phù hợp cho nhu cầu học tập, làm việc và giải trí trong website demo bán hàng công nghệ.</x:v>
      </x:c>
      <x:c r="P100" s="19" t="str">
        <x:v>{"resolution": "2MP", "rotation": "360 độ", "night_vision": "Có"}</x:v>
      </x:c>
      <x:c r="Q100" s="20" t="b">
        <x:v>1</x:v>
      </x:c>
      <x:c r="R100" s="19" t="str">
        <x:v>active</x:v>
      </x:c>
      <x:c r="S100" s="32" t="str">
        <x:v>2026-05-16</x:v>
      </x:c>
      <x:c r="T100" s="19" t="str">
        <x:v>Mock data generated for demo; not real inventory</x:v>
      </x:c>
    </x:row>
    <x:row r="101" ht="36" customHeight="1">
      <x:c r="A101" s="19" t="n">
        <x:v>100</x:v>
      </x:c>
      <x:c r="B101" s="19" t="str">
        <x:v>TCH-CAM-0100</x:v>
      </x:c>
      <x:c r="C101" s="19" t="str">
        <x:v>Xiaomi Smart Camera C300 Max</x:v>
      </x:c>
      <x:c r="D101" s="19" t="str">
        <x:v>xiaomi-smart-camera-c300-max-100</x:v>
      </x:c>
      <x:c r="E101" s="19" t="str">
        <x:v>Camera</x:v>
      </x:c>
      <x:c r="F101" s="19" t="str">
        <x:v>Xiaomi</x:v>
      </x:c>
      <x:c r="G101" s="24" t="n">
        <x:v>1690000</x:v>
      </x:c>
      <x:c r="H101" s="24" t="n">
        <x:v>1780000</x:v>
      </x:c>
      <x:c r="I101" s="26" t="n">
        <x:v>5</x:v>
      </x:c>
      <x:c r="J101" s="28" t="n">
        <x:v>32</x:v>
      </x:c>
      <x:c r="K101" s="30" t="n">
        <x:v>4.9</x:v>
      </x:c>
      <x:c r="L101" s="28" t="n">
        <x:v>493</x:v>
      </x:c>
      <x:c r="M101" s="28" t="n">
        <x:v>24</x:v>
      </x:c>
      <x:c r="N101" s="19" t="str">
        <x:v>https://placehold.co/600x600?text=CAM+100</x:v>
      </x:c>
      <x:c r="O101" s="19" t="str">
        <x:v>Xiaomi Smart Camera C300 Max thuộc nhóm camera, phù hợp cho nhu cầu học tập, làm việc và giải trí trong website demo bán hàng công nghệ.</x:v>
      </x:c>
      <x:c r="P101" s="19" t="str">
        <x:v>{"resolution": "3MP", "rotation": "Cố định", "night_vision": "Có"}</x:v>
      </x:c>
      <x:c r="Q101" s="20" t="b">
        <x:v>0</x:v>
      </x:c>
      <x:c r="R101" s="19" t="str">
        <x:v>active</x:v>
      </x:c>
      <x:c r="S101" s="32" t="str">
        <x:v>2026-04-30</x:v>
      </x:c>
      <x:c r="T101" s="19" t="str">
        <x:v>Mock data generated for demo; not real inventory</x:v>
      </x:c>
    </x:row>
  </x:sheetData>
  <x:dataValidations count="2">
    <x:dataValidation type="list" sqref="R2:R101">
      <x:formula1>"active,out_of_stock,draft"</x:formula1>
    </x:dataValidation>
    <x:dataValidation type="list" sqref="Q2:Q101">
      <x:formula1>"TRUE,FALSE"</x:formula1>
    </x:dataValidation>
  </x:dataValidations>
  <x:pageMargins left="0.7" right="0.7" top="0.75" bottom="0.75" header="0.3" footer="0.3"/>
  <x:tableParts count="1">
    <x:tablePart xmlns:r="http://schemas.openxmlformats.org/officeDocument/2006/relationships" r:id="Rfb2a8a54f52a42e9"/>
  </x:tableParts>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s>
  <x:sheetData>
    <x:row r="1">
      <x:c r="A1" s="36" t="str">
        <x:v>category</x:v>
      </x:c>
      <x:c r="B1" s="36" t="str">
        <x:v>product_count</x:v>
      </x:c>
      <x:c r="C1" s="36" t="str">
        <x:v>avg_price_vnd</x:v>
      </x:c>
      <x:c r="D1" s="36" t="str">
        <x:v>min_price_vnd</x:v>
      </x:c>
      <x:c r="E1" s="36" t="str">
        <x:v>max_price_vnd</x:v>
      </x:c>
    </x:row>
    <x:row r="2">
      <x:c r="A2" t="str">
        <x:v>Điện thoại</x:v>
      </x:c>
      <x:c r="B2" t="n">
        <x:f>COUNTIF(Products!$E$2:$E$101,A2)</x:f>
        <x:v>12</x:v>
      </x:c>
      <x:c r="C2" s="40" t="n">
        <x:f>SUMIF(Products!$E$2:$E$101,A2,Products!$G$2:$G$101)/B2</x:f>
        <x:v>15240000</x:v>
      </x:c>
      <x:c r="D2" s="40" t="n">
        <x:f>MINIFS(Products!$G$2:$G$101,Products!$E$2:$E$101,A2)</x:f>
        <x:v>4790000</x:v>
      </x:c>
      <x:c r="E2" s="40" t="n">
        <x:f>MAXIFS(Products!$G$2:$G$101,Products!$E$2:$E$101,A2)</x:f>
        <x:v>29490000</x:v>
      </x:c>
    </x:row>
    <x:row r="3">
      <x:c r="A3" t="str">
        <x:v>Laptop</x:v>
      </x:c>
      <x:c r="B3" t="n">
        <x:f>COUNTIF(Products!$E$2:$E$101,A3)</x:f>
        <x:v>12</x:v>
      </x:c>
      <x:c r="C3" s="40" t="n">
        <x:f>SUMIF(Products!$E$2:$E$101,A3,Products!$G$2:$G$101)/B3</x:f>
        <x:v>26440000</x:v>
      </x:c>
      <x:c r="D3" s="40" t="n">
        <x:f>MINIFS(Products!$G$2:$G$101,Products!$E$2:$E$101,A3)</x:f>
        <x:v>9090000</x:v>
      </x:c>
      <x:c r="E3" s="40" t="n">
        <x:f>MAXIFS(Products!$G$2:$G$101,Products!$E$2:$E$101,A3)</x:f>
        <x:v>45890000</x:v>
      </x:c>
    </x:row>
    <x:row r="4">
      <x:c r="A4" t="str">
        <x:v>Máy tính bảng</x:v>
      </x:c>
      <x:c r="B4" t="n">
        <x:f>COUNTIF(Products!$E$2:$E$101,A4)</x:f>
        <x:v>6</x:v>
      </x:c>
      <x:c r="C4" s="40" t="n">
        <x:f>SUMIF(Products!$E$2:$E$101,A4,Products!$G$2:$G$101)/B4</x:f>
        <x:v>11023333.333333334</x:v>
      </x:c>
      <x:c r="D4" s="40" t="n">
        <x:f>MINIFS(Products!$G$2:$G$101,Products!$E$2:$E$101,A4)</x:f>
        <x:v>5690000</x:v>
      </x:c>
      <x:c r="E4" s="40" t="n">
        <x:f>MAXIFS(Products!$G$2:$G$101,Products!$E$2:$E$101,A4)</x:f>
        <x:v>20290000</x:v>
      </x:c>
    </x:row>
    <x:row r="5">
      <x:c r="A5" t="str">
        <x:v>Tai nghe</x:v>
      </x:c>
      <x:c r="B5" t="n">
        <x:f>COUNTIF(Products!$E$2:$E$101,A5)</x:f>
        <x:v>8</x:v>
      </x:c>
      <x:c r="C5" s="40" t="n">
        <x:f>SUMIF(Products!$E$2:$E$101,A5,Products!$G$2:$G$101)/B5</x:f>
        <x:v>3967250</x:v>
      </x:c>
      <x:c r="D5" s="40" t="n">
        <x:f>MINIFS(Products!$G$2:$G$101,Products!$E$2:$E$101,A5)</x:f>
        <x:v>579000</x:v>
      </x:c>
      <x:c r="E5" s="40" t="n">
        <x:f>MAXIFS(Products!$G$2:$G$101,Products!$E$2:$E$101,A5)</x:f>
        <x:v>8290000</x:v>
      </x:c>
    </x:row>
    <x:row r="6">
      <x:c r="A6" t="str">
        <x:v>Củ sạc</x:v>
      </x:c>
      <x:c r="B6" t="n">
        <x:f>COUNTIF(Products!$E$2:$E$101,A6)</x:f>
        <x:v>8</x:v>
      </x:c>
      <x:c r="C6" s="40" t="n">
        <x:f>SUMIF(Products!$E$2:$E$101,A6,Products!$G$2:$G$101)/B6</x:f>
        <x:v>1260875</x:v>
      </x:c>
      <x:c r="D6" s="40" t="n">
        <x:f>MINIFS(Products!$G$2:$G$101,Products!$E$2:$E$101,A6)</x:f>
        <x:v>749000</x:v>
      </x:c>
      <x:c r="E6" s="40" t="n">
        <x:f>MAXIFS(Products!$G$2:$G$101,Products!$E$2:$E$101,A6)</x:f>
        <x:v>1790000</x:v>
      </x:c>
    </x:row>
    <x:row r="7">
      <x:c r="A7" t="str">
        <x:v>Cáp sạc</x:v>
      </x:c>
      <x:c r="B7" t="n">
        <x:f>COUNTIF(Products!$E$2:$E$101,A7)</x:f>
        <x:v>6</x:v>
      </x:c>
      <x:c r="C7" s="40" t="n">
        <x:f>SUMIF(Products!$E$2:$E$101,A7,Products!$G$2:$G$101)/B7</x:f>
        <x:v>535666.6666666666</x:v>
      </x:c>
      <x:c r="D7" s="40" t="n">
        <x:f>MINIFS(Products!$G$2:$G$101,Products!$E$2:$E$101,A7)</x:f>
        <x:v>349000</x:v>
      </x:c>
      <x:c r="E7" s="40" t="n">
        <x:f>MAXIFS(Products!$G$2:$G$101,Products!$E$2:$E$101,A7)</x:f>
        <x:v>799000</x:v>
      </x:c>
    </x:row>
    <x:row r="8">
      <x:c r="A8" t="str">
        <x:v>Pin sạc dự phòng</x:v>
      </x:c>
      <x:c r="B8" t="n">
        <x:f>COUNTIF(Products!$E$2:$E$101,A8)</x:f>
        <x:v>6</x:v>
      </x:c>
      <x:c r="C8" s="40" t="n">
        <x:f>SUMIF(Products!$E$2:$E$101,A8,Products!$G$2:$G$101)/B8</x:f>
        <x:v>1303000</x:v>
      </x:c>
      <x:c r="D8" s="40" t="n">
        <x:f>MINIFS(Products!$G$2:$G$101,Products!$E$2:$E$101,A8)</x:f>
        <x:v>499000</x:v>
      </x:c>
      <x:c r="E8" s="40" t="n">
        <x:f>MAXIFS(Products!$G$2:$G$101,Products!$E$2:$E$101,A8)</x:f>
        <x:v>2490000</x:v>
      </x:c>
    </x:row>
    <x:row r="9">
      <x:c r="A9" t="str">
        <x:v>Chuột</x:v>
      </x:c>
      <x:c r="B9" t="n">
        <x:f>COUNTIF(Products!$E$2:$E$101,A9)</x:f>
        <x:v>6</x:v>
      </x:c>
      <x:c r="C9" s="40" t="n">
        <x:f>SUMIF(Products!$E$2:$E$101,A9,Products!$G$2:$G$101)/B9</x:f>
        <x:v>2008166.6666666667</x:v>
      </x:c>
      <x:c r="D9" s="40" t="n">
        <x:f>MINIFS(Products!$G$2:$G$101,Products!$E$2:$E$101,A9)</x:f>
        <x:v>999000</x:v>
      </x:c>
      <x:c r="E9" s="40" t="n">
        <x:f>MAXIFS(Products!$G$2:$G$101,Products!$E$2:$E$101,A9)</x:f>
        <x:v>3190000</x:v>
      </x:c>
    </x:row>
    <x:row r="10">
      <x:c r="A10" t="str">
        <x:v>Bàn phím</x:v>
      </x:c>
      <x:c r="B10" t="n">
        <x:f>COUNTIF(Products!$E$2:$E$101,A10)</x:f>
        <x:v>6</x:v>
      </x:c>
      <x:c r="C10" s="40" t="n">
        <x:f>SUMIF(Products!$E$2:$E$101,A10,Products!$G$2:$G$101)/B10</x:f>
        <x:v>2423333.3333333335</x:v>
      </x:c>
      <x:c r="D10" s="40" t="n">
        <x:f>MINIFS(Products!$G$2:$G$101,Products!$E$2:$E$101,A10)</x:f>
        <x:v>1190000</x:v>
      </x:c>
      <x:c r="E10" s="40" t="n">
        <x:f>MAXIFS(Products!$G$2:$G$101,Products!$E$2:$E$101,A10)</x:f>
        <x:v>4290000</x:v>
      </x:c>
    </x:row>
    <x:row r="11">
      <x:c r="A11" t="str">
        <x:v>Màn hình</x:v>
      </x:c>
      <x:c r="B11" t="n">
        <x:f>COUNTIF(Products!$E$2:$E$101,A11)</x:f>
        <x:v>6</x:v>
      </x:c>
      <x:c r="C11" s="40" t="n">
        <x:f>SUMIF(Products!$E$2:$E$101,A11,Products!$G$2:$G$101)/B11</x:f>
        <x:v>9990000</x:v>
      </x:c>
      <x:c r="D11" s="40" t="n">
        <x:f>MINIFS(Products!$G$2:$G$101,Products!$E$2:$E$101,A11)</x:f>
        <x:v>3590000</x:v>
      </x:c>
      <x:c r="E11" s="40" t="n">
        <x:f>MAXIFS(Products!$G$2:$G$101,Products!$E$2:$E$101,A11)</x:f>
        <x:v>14790000</x:v>
      </x:c>
    </x:row>
    <x:row r="12">
      <x:c r="A12" t="str">
        <x:v>Smartwatch</x:v>
      </x:c>
      <x:c r="B12" t="n">
        <x:f>COUNTIF(Products!$E$2:$E$101,A12)</x:f>
        <x:v>6</x:v>
      </x:c>
      <x:c r="C12" s="40" t="n">
        <x:f>SUMIF(Products!$E$2:$E$101,A12,Products!$G$2:$G$101)/B12</x:f>
        <x:v>6673333.333333333</x:v>
      </x:c>
      <x:c r="D12" s="40" t="n">
        <x:f>MINIFS(Products!$G$2:$G$101,Products!$E$2:$E$101,A12)</x:f>
        <x:v>1790000</x:v>
      </x:c>
      <x:c r="E12" s="40" t="n">
        <x:f>MAXIFS(Products!$G$2:$G$101,Products!$E$2:$E$101,A12)</x:f>
        <x:v>12190000</x:v>
      </x:c>
    </x:row>
    <x:row r="13">
      <x:c r="A13" t="str">
        <x:v>Loa Bluetooth</x:v>
      </x:c>
      <x:c r="B13" t="n">
        <x:f>COUNTIF(Products!$E$2:$E$101,A13)</x:f>
        <x:v>4</x:v>
      </x:c>
      <x:c r="C13" s="40" t="n">
        <x:f>SUMIF(Products!$E$2:$E$101,A13,Products!$G$2:$G$101)/B13</x:f>
        <x:v>4127250</x:v>
      </x:c>
      <x:c r="D13" s="40" t="n">
        <x:f>MINIFS(Products!$G$2:$G$101,Products!$E$2:$E$101,A13)</x:f>
        <x:v>539000</x:v>
      </x:c>
      <x:c r="E13" s="40" t="n">
        <x:f>MAXIFS(Products!$G$2:$G$101,Products!$E$2:$E$101,A13)</x:f>
        <x:v>7690000</x:v>
      </x:c>
    </x:row>
    <x:row r="14">
      <x:c r="A14" t="str">
        <x:v>Ổ cứng SSD</x:v>
      </x:c>
      <x:c r="B14" t="n">
        <x:f>COUNTIF(Products!$E$2:$E$101,A14)</x:f>
        <x:v>4</x:v>
      </x:c>
      <x:c r="C14" s="40" t="n">
        <x:f>SUMIF(Products!$E$2:$E$101,A14,Products!$G$2:$G$101)/B14</x:f>
        <x:v>2215000</x:v>
      </x:c>
      <x:c r="D14" s="40" t="n">
        <x:f>MINIFS(Products!$G$2:$G$101,Products!$E$2:$E$101,A14)</x:f>
        <x:v>1490000</x:v>
      </x:c>
      <x:c r="E14" s="40" t="n">
        <x:f>MAXIFS(Products!$G$2:$G$101,Products!$E$2:$E$101,A14)</x:f>
        <x:v>3090000</x:v>
      </x:c>
    </x:row>
    <x:row r="15">
      <x:c r="A15" t="str">
        <x:v>RAM máy tính</x:v>
      </x:c>
      <x:c r="B15" t="n">
        <x:f>COUNTIF(Products!$E$2:$E$101,A15)</x:f>
        <x:v>4</x:v>
      </x:c>
      <x:c r="C15" s="40" t="n">
        <x:f>SUMIF(Products!$E$2:$E$101,A15,Products!$G$2:$G$101)/B15</x:f>
        <x:v>1829750</x:v>
      </x:c>
      <x:c r="D15" s="40" t="n">
        <x:f>MINIFS(Products!$G$2:$G$101,Products!$E$2:$E$101,A15)</x:f>
        <x:v>749000</x:v>
      </x:c>
      <x:c r="E15" s="40" t="n">
        <x:f>MAXIFS(Products!$G$2:$G$101,Products!$E$2:$E$101,A15)</x:f>
        <x:v>2790000</x:v>
      </x:c>
    </x:row>
    <x:row r="16">
      <x:c r="A16" t="str">
        <x:v>Router WiFi</x:v>
      </x:c>
      <x:c r="B16" t="n">
        <x:f>COUNTIF(Products!$E$2:$E$101,A16)</x:f>
        <x:v>3</x:v>
      </x:c>
      <x:c r="C16" s="40" t="n">
        <x:f>SUMIF(Products!$E$2:$E$101,A16,Products!$G$2:$G$101)/B16</x:f>
        <x:v>3326333.3333333335</x:v>
      </x:c>
      <x:c r="D16" s="40" t="n">
        <x:f>MINIFS(Products!$G$2:$G$101,Products!$E$2:$E$101,A16)</x:f>
        <x:v>799000</x:v>
      </x:c>
      <x:c r="E16" s="40" t="n">
        <x:f>MAXIFS(Products!$G$2:$G$101,Products!$E$2:$E$101,A16)</x:f>
        <x:v>6390000</x:v>
      </x:c>
    </x:row>
    <x:row r="17">
      <x:c r="A17" t="str">
        <x:v>Camera</x:v>
      </x:c>
      <x:c r="B17" t="n">
        <x:f>COUNTIF(Products!$E$2:$E$101,A17)</x:f>
        <x:v>3</x:v>
      </x:c>
      <x:c r="C17" s="40" t="n">
        <x:f>SUMIF(Products!$E$2:$E$101,A17,Products!$G$2:$G$101)/B17</x:f>
        <x:v>1416333.3333333333</x:v>
      </x:c>
      <x:c r="D17" s="40" t="n">
        <x:f>MINIFS(Products!$G$2:$G$101,Products!$E$2:$E$101,A17)</x:f>
        <x:v>969000</x:v>
      </x:c>
      <x:c r="E17" s="40" t="n">
        <x:f>MAXIFS(Products!$G$2:$G$101,Products!$E$2:$E$101,A17)</x:f>
        <x:v>1690000</x:v>
      </x:c>
    </x:row>
  </x:sheetData>
  <x:pageMargins left="0.7" right="0.7" top="0.75" bottom="0.75" header="0.3" footer="0.3"/>
  <x:tableParts count="1">
    <x:tablePart xmlns:r="http://schemas.openxmlformats.org/officeDocument/2006/relationships" r:id="Rf17803e6d8664f67"/>
  </x:tableParts>
</x:worksheet>
</file>

<file path=xl/worksheets/sheet3.xml><?xml version="1.0" encoding="utf-8"?>
<x:worksheet xmlns:x="http://schemas.openxmlformats.org/spreadsheetml/2006/main">
  <x:sheetFormatPr defaultRowHeight="15"/>
  <x:cols>
    <x:col min="1" max="1" width="25" hidden="0" customWidth="1"/>
    <x:col min="2" max="2" width="90" hidden="0" customWidth="1"/>
  </x:cols>
  <x:sheetData>
    <x:row r="1">
      <x:c r="A1" s="48" t="str">
        <x:v>Mục</x:v>
      </x:c>
      <x:c r="B1" s="48" t="str">
        <x:v>Nội dung</x:v>
      </x:c>
    </x:row>
    <x:row r="2">
      <x:c r="A2" s="14" t="str">
        <x:v>Mục đích</x:v>
      </x:c>
      <x:c r="B2" s="14" t="str">
        <x:v>Bộ dữ liệu giả lập 100 sản phẩm công nghệ để dùng làm seed data / import dữ liệu đầu vào cho website demo bán hàng.</x:v>
      </x:c>
    </x:row>
    <x:row r="3">
      <x:c r="A3" s="14" t="str">
        <x:v>Khuyến nghị</x:v>
      </x:c>
      <x:c r="B3" s="14" t="str">
        <x:v>Dùng file JSON nếu web frontend/backend đọc trực tiếp; dùng CSV nếu import database; dùng XLSX nếu muốn xem/sửa dữ liệu bằng Excel.</x:v>
      </x:c>
    </x:row>
    <x:row r="4">
      <x:c r="A4" s="14" t="str">
        <x:v>Các bảng</x:v>
      </x:c>
      <x:c r="B4" s="14" t="str">
        <x:v>Products: dữ liệu sản phẩm; Category_Summary: thống kê theo danh mục.</x:v>
      </x:c>
    </x:row>
    <x:row r="5">
      <x:c r="A5" s="14" t="str">
        <x:v>Trường quan trọng</x:v>
      </x:c>
      <x:c r="B5" s="14" t="str">
        <x:v>id, sku, name, slug, category, brand, price_vnd, stock, image_url, description, specs_json, status.</x:v>
      </x:c>
    </x:row>
    <x:row r="6">
      <x:c r="A6" s="14" t="str">
        <x:v>Ghi chú ảnh</x:v>
      </x:c>
      <x:c r="B6" s="14" t="str">
        <x:v>image_url dùng placeholder placehold.co để tránh phụ thuộc ảnh bản quyền.</x:v>
      </x:c>
    </x:row>
    <x:row r="7">
      <x:c r="A7" s="14" t="str">
        <x:v>Nguồn tham khảo API mock</x:v>
      </x:c>
      <x:c r="B7" s="14" t="str">
        <x:v>DummyJSON: https://dummyjson.com/</x:v>
      </x:c>
    </x:row>
    <x:row r="8">
      <x:c r="A8" s="14" t="str">
        <x:v>Nguồn tham khảo API mock</x:v>
      </x:c>
      <x:c r="B8" s="14" t="str">
        <x:v>Platzi Fake Store API: https://fakeapi.platzi.com/</x:v>
      </x:c>
    </x:row>
    <x:row r="9">
      <x:c r="A9" s="14" t="str">
        <x:v>Nguồn tạo dữ liệu giả</x:v>
      </x:c>
      <x:c r="B9" s="14" t="str">
        <x:v>Mockaroo: https://www.mockaroo.com/</x:v>
      </x:c>
    </x:row>
  </x:sheetData>
  <x:pageMargins left="0.7" right="0.7" top="0.75" bottom="0.75" header="0.3" footer="0.3"/>
  <x:tableParts count="1">
    <x:tablePart xmlns:r="http://schemas.openxmlformats.org/officeDocument/2006/relationships" r:id="R43f4e491448347bb"/>
  </x:tableParts>
</x:worksheet>
</file>